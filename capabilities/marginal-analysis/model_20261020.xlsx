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harry/.copilot/repos/Yeongsu-Harry-Lee/capabilities/marginal-analysis/"/>
    </mc:Choice>
  </mc:AlternateContent>
  <xr:revisionPtr revIDLastSave="0" documentId="8_{3000921D-E883-7242-82C1-EFBA13024BB2}" xr6:coauthVersionLast="47" xr6:coauthVersionMax="47" xr10:uidLastSave="{00000000-0000-0000-0000-000000000000}"/>
  <bookViews>
    <workbookView xWindow="0" yWindow="600" windowWidth="32740" windowHeight="18540" xr2:uid="{00000000-000D-0000-FFFF-FFFF00000000}"/>
  </bookViews>
  <sheets>
    <sheet name="Farm_Model" sheetId="1" r:id="rId1"/>
    <sheet name="Documentation" sheetId="2" r:id="rId2"/>
  </sheets>
  <definedNames>
    <definedName name="BASE_HRS_CARROTS">Farm_Model!$B$13</definedName>
    <definedName name="BASE_HRS_MESCLUN">Farm_Model!$B$14</definedName>
    <definedName name="BASE_HRS_TOMATOES">Farm_Model!$B$12</definedName>
    <definedName name="BED_CAP_CARROTS">Farm_Model!$B$7</definedName>
    <definedName name="BED_CAP_MESCLUN">Farm_Model!$B$8</definedName>
    <definedName name="BED_CAP_TOMATOES">Farm_Model!$B$6</definedName>
    <definedName name="BEDS_CARROTS">Farm_Model!$B$43</definedName>
    <definedName name="BEDS_MESCLUN">Farm_Model!$B$44</definedName>
    <definedName name="BEDS_TOMATOES">Farm_Model!$B$42</definedName>
    <definedName name="BLENDED_LABOR_RATE">Farm_Model!$B$37</definedName>
    <definedName name="CALCULATED_RANGES_COST_STRUCTURE">Farm_Model!$B$33:$B$38</definedName>
    <definedName name="CALCULATED_RANGES_OPT_CONSTRAINTS">Farm_Model!$B$54:$B$59</definedName>
    <definedName name="CALCULATED_RANGES_OPT_CROPS">Farm_Model!$C$42:$H$44</definedName>
    <definedName name="CALCULATED_RANGES_OPT_TOTALS">Farm_Model!$B$47:$B$51</definedName>
    <definedName name="CALCULATED_RANGES_SCHED_CARROTS">Farm_Model!$B$105:$N$124</definedName>
    <definedName name="CALCULATED_RANGES_SCHED_MESCLUN">Farm_Model!$B$128:$N$157</definedName>
    <definedName name="CALCULATED_RANGES_SCHED_TOMATOES">Farm_Model!$B$82:$N$101</definedName>
    <definedName name="CALCULATED_RANGES_STANDALONE">Farm_Model!$B$76:$B$78</definedName>
    <definedName name="CHECK_HAND_CALC_Q1">Farm_Model!$B$164</definedName>
    <definedName name="CHECK_LABOR_CAP">Farm_Model!$B$165</definedName>
    <definedName name="CHECK_LAND_CAP">Farm_Model!$B$166</definedName>
    <definedName name="CHECK_NET_PROFIT">Farm_Model!$B$162</definedName>
    <definedName name="CHECK_NO_ERRORS_AND_FORMULAS">Farm_Model!$B$167</definedName>
    <definedName name="CHECK_OPTIMAL_MIX">Farm_Model!$B$161</definedName>
    <definedName name="CHECK_STANDALONE_PMC">Farm_Model!$B$163</definedName>
    <definedName name="checks">Farm_Model!$A$159:$D$167</definedName>
    <definedName name="CONSTRAINT_BED_CAP_CARROTS">Farm_Model!$B$55</definedName>
    <definedName name="CONSTRAINT_BED_CAP_MESCLUN">Farm_Model!$B$56</definedName>
    <definedName name="CONSTRAINT_BED_CAP_TOMATOES">Farm_Model!$B$54</definedName>
    <definedName name="CONSTRAINT_FARM_BEDS">Farm_Model!$B$57</definedName>
    <definedName name="CONSTRAINT_INTEGER_NONNEG">Farm_Model!$B$59</definedName>
    <definedName name="CONSTRAINT_LABOR_CAP">Farm_Model!$B$58</definedName>
    <definedName name="cost_structure">Farm_Model!$A$31:$D$38</definedName>
    <definedName name="CROP_CUMULATIVE_CONTRIBUTION_CARROTS">Farm_Model!$H$43</definedName>
    <definedName name="CROP_CUMULATIVE_CONTRIBUTION_MESCLUN">Farm_Model!$H$44</definedName>
    <definedName name="CROP_CUMULATIVE_CONTRIBUTION_TOMATOES">Farm_Model!$H$42</definedName>
    <definedName name="CROP_LABOR_COST_CARROTS">Farm_Model!$F$43</definedName>
    <definedName name="CROP_LABOR_COST_MESCLUN">Farm_Model!$F$44</definedName>
    <definedName name="CROP_LABOR_COST_TOMATOES">Farm_Model!$F$42</definedName>
    <definedName name="CROP_REVENUE_CARROTS">Farm_Model!$D$43</definedName>
    <definedName name="CROP_REVENUE_MESCLUN">Farm_Model!$D$44</definedName>
    <definedName name="CROP_REVENUE_TOMATOES">Farm_Model!$D$42</definedName>
    <definedName name="CROP_TVC_CARROTS">Farm_Model!$G$43</definedName>
    <definedName name="CROP_TVC_MESCLUN">Farm_Model!$G$44</definedName>
    <definedName name="CROP_TVC_TOMATOES">Farm_Model!$G$42</definedName>
    <definedName name="DIM_RATE_CARROTS">Farm_Model!$B$19</definedName>
    <definedName name="DIM_RATE_MESCLUN">Farm_Model!$B$20</definedName>
    <definedName name="DIM_RATE_TOMATOES">Farm_Model!$B$18</definedName>
    <definedName name="FARM_BEDS_AVAIL">Farm_Model!$B$21</definedName>
    <definedName name="FARM_BLENDED_LABOR_RATE">Farm_Model!$B$37</definedName>
    <definedName name="FERT_COST_CARROTS">Farm_Model!$E$43</definedName>
    <definedName name="FERT_COST_MESCLUN">Farm_Model!$E$44</definedName>
    <definedName name="FERT_COST_TOMATOES">Farm_Model!$E$42</definedName>
    <definedName name="FERT_PER_BED_CARROTS">Farm_Model!$B$16</definedName>
    <definedName name="FERT_PER_BED_MESCLUN">Farm_Model!$B$17</definedName>
    <definedName name="FERT_PER_BED_TOMATOES">Farm_Model!$B$15</definedName>
    <definedName name="FIXED_COST_DOLLARS">Farm_Model!$B$23</definedName>
    <definedName name="FIXED_COSTS">Farm_Model!$B$23</definedName>
    <definedName name="inputs">Farm_Model!$A$4:$D$29</definedName>
    <definedName name="LABOR_HRS_CARROTS">Farm_Model!$C$43</definedName>
    <definedName name="LABOR_HRS_MESCLUN">Farm_Model!$C$44</definedName>
    <definedName name="LABOR_HRS_TOMATOES">Farm_Model!$C$42</definedName>
    <definedName name="marginal_cost">Farm_Model!$A$74:$N$157</definedName>
    <definedName name="NET_SEASON_PROFIT">Farm_Model!$B$51</definedName>
    <definedName name="OPTIMAL_BEDS_CARROTS">Farm_Model!$B$43</definedName>
    <definedName name="OPTIMAL_BEDS_MESCLUN">Farm_Model!$B$44</definedName>
    <definedName name="OPTIMAL_BEDS_TOMATOES">Farm_Model!$B$42</definedName>
    <definedName name="optimization">Farm_Model!$A$40:$H$72</definedName>
    <definedName name="OWNER_HOURLY_RATE">Farm_Model!$B$25</definedName>
    <definedName name="OWNER_HOURS_UTILIZED">Farm_Model!$B$34</definedName>
    <definedName name="OWNER_HRS_USED">Farm_Model!$B$34</definedName>
    <definedName name="OWNER_MAX_HRS">Farm_Model!$B$24</definedName>
    <definedName name="REV_PER_BED_CARROTS">Farm_Model!$B$10</definedName>
    <definedName name="REV_PER_BED_MESCLUN">Farm_Model!$B$11</definedName>
    <definedName name="REV_PER_BED_TOMATOES">Farm_Model!$B$9</definedName>
    <definedName name="SCHED_CROP_LABOR_COST_CARROTS">Farm_Model!$G$105:$G$124</definedName>
    <definedName name="SCHED_CROP_LABOR_COST_MESCLUN">Farm_Model!$G$128:$G$157</definedName>
    <definedName name="SCHED_CROP_LABOR_COST_TOMATOES">Farm_Model!$G$82:$G$101</definedName>
    <definedName name="SCHED_CROP_REVENUE_CARROTS">Farm_Model!$E$105:$E$124</definedName>
    <definedName name="SCHED_CROP_REVENUE_MESCLUN">Farm_Model!$E$128:$E$157</definedName>
    <definedName name="SCHED_CROP_REVENUE_TOMATOES">Farm_Model!$E$82:$E$101</definedName>
    <definedName name="SCHED_CROP_TVC_CARROTS">Farm_Model!$H$105:$H$124</definedName>
    <definedName name="SCHED_CROP_TVC_MESCLUN">Farm_Model!$H$128:$H$157</definedName>
    <definedName name="SCHED_CROP_TVC_TOMATOES">Farm_Model!$H$82:$H$101</definedName>
    <definedName name="SCHED_CUMULATIVE_CONTRIBUTION_CARROTS">Farm_Model!$K$105:$K$124</definedName>
    <definedName name="SCHED_CUMULATIVE_CONTRIBUTION_MESCLUN">Farm_Model!$K$128:$K$157</definedName>
    <definedName name="SCHED_CUMULATIVE_CONTRIBUTION_TOMATOES">Farm_Model!$K$82:$K$101</definedName>
    <definedName name="SCHED_FERT_COST_CARROTS">Farm_Model!$F$105:$F$124</definedName>
    <definedName name="SCHED_FERT_COST_MESCLUN">Farm_Model!$F$128:$F$157</definedName>
    <definedName name="SCHED_FERT_COST_TOMATOES">Farm_Model!$F$82:$F$101</definedName>
    <definedName name="SCHED_LABOR_HRS_CARROTS">Farm_Model!$B$105:$B$124</definedName>
    <definedName name="SCHED_LABOR_HRS_MESCLUN">Farm_Model!$B$128:$B$157</definedName>
    <definedName name="SCHED_LABOR_HRS_PREV_CARROTS">Farm_Model!$C$105:$C$124</definedName>
    <definedName name="SCHED_LABOR_HRS_PREV_MESCLUN">Farm_Model!$C$128:$C$157</definedName>
    <definedName name="SCHED_LABOR_HRS_PREV_TOMATOES">Farm_Model!$C$82:$C$101</definedName>
    <definedName name="SCHED_LABOR_HRS_TOMATOES">Farm_Model!$B$82:$B$101</definedName>
    <definedName name="SCHED_MARGINAL_COST_CARROTS">Farm_Model!$I$105:$I$124</definedName>
    <definedName name="SCHED_MARGINAL_COST_MESCLUN">Farm_Model!$I$128:$I$157</definedName>
    <definedName name="SCHED_MARGINAL_COST_TOMATOES">Farm_Model!$I$82:$I$101</definedName>
    <definedName name="SCHED_MARGINAL_LABOR_HRS_CARROTS">Farm_Model!$D$105:$D$124</definedName>
    <definedName name="SCHED_MARGINAL_LABOR_HRS_MESCLUN">Farm_Model!$D$128:$D$157</definedName>
    <definedName name="SCHED_MARGINAL_LABOR_HRS_TOMATOES">Farm_Model!$D$82:$D$101</definedName>
    <definedName name="SCHED_MARGINAL_REVENUE_CARROTS">Farm_Model!$J$105:$J$124</definedName>
    <definedName name="SCHED_MARGINAL_REVENUE_MESCLUN">Farm_Model!$J$128:$J$157</definedName>
    <definedName name="SCHED_MARGINAL_REVENUE_TOMATOES">Farm_Model!$J$82:$J$101</definedName>
    <definedName name="SCHED_Q_CARROTS">Farm_Model!$A$105:$A$124</definedName>
    <definedName name="SCHED_Q_MESCLUN">Farm_Model!$A$128:$A$157</definedName>
    <definedName name="SCHED_Q_TOMATOES">Farm_Model!$A$82:$A$101</definedName>
    <definedName name="SCHED_SA_LABOR_COST_CARROTS">Farm_Model!$L$105:$L$124</definedName>
    <definedName name="SCHED_SA_LABOR_COST_MESCLUN">Farm_Model!$L$128:$L$157</definedName>
    <definedName name="SCHED_SA_LABOR_COST_PREV_CARROTS">Farm_Model!$M$105:$M$124</definedName>
    <definedName name="SCHED_SA_LABOR_COST_PREV_MESCLUN">Farm_Model!$M$128:$M$157</definedName>
    <definedName name="SCHED_SA_LABOR_COST_PREV_TOMATOES">Farm_Model!$M$82:$M$101</definedName>
    <definedName name="SCHED_SA_LABOR_COST_TOMATOES">Farm_Model!$L$82:$L$101</definedName>
    <definedName name="SCHED_SA_MARGINAL_COST_CARROTS">Farm_Model!$N$105:$N$124</definedName>
    <definedName name="SCHED_SA_MARGINAL_COST_MESCLUN">Farm_Model!$N$128:$N$157</definedName>
    <definedName name="SCHED_SA_MARGINAL_COST_TOMATOES">Farm_Model!$N$82:$N$101</definedName>
    <definedName name="SEASON_WEEKS">Farm_Model!$B$22</definedName>
    <definedName name="solver_adj" localSheetId="0" hidden="1">Farm_Model!$B$42:$B$44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Farm_Model!$B$43</definedName>
    <definedName name="solver_lhs2" localSheetId="0" hidden="1">Farm_Model!$B$43</definedName>
    <definedName name="solver_lhs3" localSheetId="0" hidden="1">Farm_Model!$B$44</definedName>
    <definedName name="solver_lhs4" localSheetId="0" hidden="1">Farm_Model!$B$44</definedName>
    <definedName name="solver_lhs5" localSheetId="0" hidden="1">Farm_Model!$B$42</definedName>
    <definedName name="solver_lhs6" localSheetId="0" hidden="1">Farm_Model!$B$42</definedName>
    <definedName name="solver_lhs7" localSheetId="0" hidden="1">Farm_Model!$B$47</definedName>
    <definedName name="solver_lhs8" localSheetId="0" hidden="1">Farm_Model!$B$33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opt" localSheetId="0" hidden="1">Farm_Model!$B$51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4</definedName>
    <definedName name="solver_rel5" localSheetId="0" hidden="1">1</definedName>
    <definedName name="solver_rel6" localSheetId="0" hidden="1">4</definedName>
    <definedName name="solver_rel7" localSheetId="0" hidden="1">1</definedName>
    <definedName name="solver_rel8" localSheetId="0" hidden="1">1</definedName>
    <definedName name="solver_rhs1" localSheetId="0" hidden="1">BED_CAP_CARROTS</definedName>
    <definedName name="solver_rhs2" localSheetId="0" hidden="1">"integer"</definedName>
    <definedName name="solver_rhs3" localSheetId="0" hidden="1">BED_CAP_MESCLUN</definedName>
    <definedName name="solver_rhs4" localSheetId="0" hidden="1">"integer"</definedName>
    <definedName name="solver_rhs5" localSheetId="0" hidden="1">BED_CAP_TOMATOES</definedName>
    <definedName name="solver_rhs6" localSheetId="0" hidden="1">"integer"</definedName>
    <definedName name="solver_rhs7" localSheetId="0" hidden="1">FARM_BEDS_AVAIL</definedName>
    <definedName name="solver_rhs8" localSheetId="0" hidden="1">TOTAL_LABOR_CAP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  <definedName name="STANDALONE_PMC_CARROTS">Farm_Model!$B$77</definedName>
    <definedName name="STANDALONE_PMC_MESCLUN">Farm_Model!$B$78</definedName>
    <definedName name="STANDALONE_PMC_TOMATOES">Farm_Model!$B$76</definedName>
    <definedName name="TEMP_HOURLY_RATE">Farm_Model!$B$28</definedName>
    <definedName name="TEMP_HRS_NEEDED">Farm_Model!$B$35</definedName>
    <definedName name="TEMP_WORKER_HOURS_UTILIZED">Farm_Model!$B$35</definedName>
    <definedName name="TEMP_WORKER_MAX_HRS">Farm_Model!$B$27</definedName>
    <definedName name="TEMP_WORKERS_HIRED_EQUIVALENT">Farm_Model!$B$38</definedName>
    <definedName name="TEMP_WORKERS_MAX">Farm_Model!$B$26</definedName>
    <definedName name="TOMATO_Q1_LABOR_HRS">Farm_Model!$B$82</definedName>
    <definedName name="TOTAL_BEDS_PLANTED">Farm_Model!$B$47</definedName>
    <definedName name="TOTAL_FARM_LABOR_HRS">Farm_Model!$B$33</definedName>
    <definedName name="TOTAL_FARM_REVENUE">Farm_Model!$B$48</definedName>
    <definedName name="TOTAL_FARM_TVC">Farm_Model!$B$50</definedName>
    <definedName name="TOTAL_FERTILIZER_COST">Farm_Model!$B$49</definedName>
    <definedName name="TOTAL_LABOR_CAP">Farm_Model!$B$29</definedName>
    <definedName name="TOTAL_LABOR_COST">Farm_Model!$B$36</definedName>
    <definedName name="TOTAL_LABOR_COST_DOLLARS">Farm_Model!$B$36</definedName>
    <definedName name="TOTAL_LABOR_HOURS_USED">Farm_Model!$B$33</definedName>
    <definedName name="TOTAL_VARIABLE_COST">Farm_Model!$B$50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1" i="1" l="1"/>
  <c r="J157" i="1"/>
  <c r="F157" i="1"/>
  <c r="E157" i="1"/>
  <c r="C157" i="1"/>
  <c r="M157" i="1" s="1"/>
  <c r="B157" i="1"/>
  <c r="J156" i="1"/>
  <c r="F156" i="1"/>
  <c r="E156" i="1"/>
  <c r="C156" i="1"/>
  <c r="M156" i="1" s="1"/>
  <c r="B156" i="1"/>
  <c r="J155" i="1"/>
  <c r="F155" i="1"/>
  <c r="E155" i="1"/>
  <c r="C155" i="1"/>
  <c r="M155" i="1" s="1"/>
  <c r="B155" i="1"/>
  <c r="J154" i="1"/>
  <c r="F154" i="1"/>
  <c r="E154" i="1"/>
  <c r="C154" i="1"/>
  <c r="M154" i="1" s="1"/>
  <c r="B154" i="1"/>
  <c r="J153" i="1"/>
  <c r="F153" i="1"/>
  <c r="E153" i="1"/>
  <c r="C153" i="1"/>
  <c r="M153" i="1" s="1"/>
  <c r="B153" i="1"/>
  <c r="J152" i="1"/>
  <c r="F152" i="1"/>
  <c r="E152" i="1"/>
  <c r="C152" i="1"/>
  <c r="M152" i="1" s="1"/>
  <c r="B152" i="1"/>
  <c r="J151" i="1"/>
  <c r="F151" i="1"/>
  <c r="E151" i="1"/>
  <c r="C151" i="1"/>
  <c r="M151" i="1" s="1"/>
  <c r="B151" i="1"/>
  <c r="J150" i="1"/>
  <c r="F150" i="1"/>
  <c r="E150" i="1"/>
  <c r="C150" i="1"/>
  <c r="M150" i="1" s="1"/>
  <c r="B150" i="1"/>
  <c r="J149" i="1"/>
  <c r="F149" i="1"/>
  <c r="E149" i="1"/>
  <c r="C149" i="1"/>
  <c r="M149" i="1" s="1"/>
  <c r="B149" i="1"/>
  <c r="J148" i="1"/>
  <c r="F148" i="1"/>
  <c r="E148" i="1"/>
  <c r="C148" i="1"/>
  <c r="M148" i="1" s="1"/>
  <c r="B148" i="1"/>
  <c r="J147" i="1"/>
  <c r="F147" i="1"/>
  <c r="E147" i="1"/>
  <c r="C147" i="1"/>
  <c r="M147" i="1" s="1"/>
  <c r="B147" i="1"/>
  <c r="M146" i="1"/>
  <c r="L146" i="1"/>
  <c r="N146" i="1" s="1"/>
  <c r="J146" i="1"/>
  <c r="F146" i="1"/>
  <c r="E146" i="1"/>
  <c r="C146" i="1"/>
  <c r="B146" i="1"/>
  <c r="D146" i="1" s="1"/>
  <c r="J145" i="1"/>
  <c r="F145" i="1"/>
  <c r="E145" i="1"/>
  <c r="C145" i="1"/>
  <c r="M145" i="1" s="1"/>
  <c r="B145" i="1"/>
  <c r="J144" i="1"/>
  <c r="F144" i="1"/>
  <c r="E144" i="1"/>
  <c r="C144" i="1"/>
  <c r="M144" i="1" s="1"/>
  <c r="B144" i="1"/>
  <c r="J143" i="1"/>
  <c r="F143" i="1"/>
  <c r="E143" i="1"/>
  <c r="C143" i="1"/>
  <c r="M143" i="1" s="1"/>
  <c r="B143" i="1"/>
  <c r="J142" i="1"/>
  <c r="F142" i="1"/>
  <c r="E142" i="1"/>
  <c r="C142" i="1"/>
  <c r="M142" i="1" s="1"/>
  <c r="B142" i="1"/>
  <c r="J141" i="1"/>
  <c r="F141" i="1"/>
  <c r="E141" i="1"/>
  <c r="C141" i="1"/>
  <c r="M141" i="1" s="1"/>
  <c r="B141" i="1"/>
  <c r="J140" i="1"/>
  <c r="F140" i="1"/>
  <c r="E140" i="1"/>
  <c r="C140" i="1"/>
  <c r="M140" i="1" s="1"/>
  <c r="B140" i="1"/>
  <c r="J139" i="1"/>
  <c r="F139" i="1"/>
  <c r="E139" i="1"/>
  <c r="C139" i="1"/>
  <c r="M139" i="1" s="1"/>
  <c r="B139" i="1"/>
  <c r="J138" i="1"/>
  <c r="F138" i="1"/>
  <c r="E138" i="1"/>
  <c r="C138" i="1"/>
  <c r="M138" i="1" s="1"/>
  <c r="B138" i="1"/>
  <c r="J137" i="1"/>
  <c r="F137" i="1"/>
  <c r="E137" i="1"/>
  <c r="C137" i="1"/>
  <c r="M137" i="1" s="1"/>
  <c r="B137" i="1"/>
  <c r="J136" i="1"/>
  <c r="F136" i="1"/>
  <c r="E136" i="1"/>
  <c r="C136" i="1"/>
  <c r="M136" i="1" s="1"/>
  <c r="B136" i="1"/>
  <c r="J135" i="1"/>
  <c r="F135" i="1"/>
  <c r="E135" i="1"/>
  <c r="C135" i="1"/>
  <c r="M135" i="1" s="1"/>
  <c r="B135" i="1"/>
  <c r="J134" i="1"/>
  <c r="F134" i="1"/>
  <c r="E134" i="1"/>
  <c r="C134" i="1"/>
  <c r="M134" i="1" s="1"/>
  <c r="B134" i="1"/>
  <c r="J133" i="1"/>
  <c r="F133" i="1"/>
  <c r="E133" i="1"/>
  <c r="C133" i="1"/>
  <c r="M133" i="1" s="1"/>
  <c r="B133" i="1"/>
  <c r="J132" i="1"/>
  <c r="F132" i="1"/>
  <c r="E132" i="1"/>
  <c r="C132" i="1"/>
  <c r="M132" i="1" s="1"/>
  <c r="B132" i="1"/>
  <c r="J131" i="1"/>
  <c r="F131" i="1"/>
  <c r="E131" i="1"/>
  <c r="C131" i="1"/>
  <c r="M131" i="1" s="1"/>
  <c r="B131" i="1"/>
  <c r="J130" i="1"/>
  <c r="F130" i="1"/>
  <c r="E130" i="1"/>
  <c r="C130" i="1"/>
  <c r="M130" i="1" s="1"/>
  <c r="B130" i="1"/>
  <c r="J129" i="1"/>
  <c r="F129" i="1"/>
  <c r="E129" i="1"/>
  <c r="C129" i="1"/>
  <c r="M129" i="1" s="1"/>
  <c r="B129" i="1"/>
  <c r="J128" i="1"/>
  <c r="F128" i="1"/>
  <c r="E128" i="1"/>
  <c r="C128" i="1"/>
  <c r="M128" i="1" s="1"/>
  <c r="B128" i="1"/>
  <c r="J124" i="1"/>
  <c r="F124" i="1"/>
  <c r="E124" i="1"/>
  <c r="J123" i="1"/>
  <c r="F123" i="1"/>
  <c r="E123" i="1"/>
  <c r="J122" i="1"/>
  <c r="F122" i="1"/>
  <c r="E122" i="1"/>
  <c r="J121" i="1"/>
  <c r="F121" i="1"/>
  <c r="E121" i="1"/>
  <c r="C121" i="1"/>
  <c r="M121" i="1" s="1"/>
  <c r="B121" i="1"/>
  <c r="J120" i="1"/>
  <c r="F120" i="1"/>
  <c r="E120" i="1"/>
  <c r="C120" i="1"/>
  <c r="M120" i="1" s="1"/>
  <c r="B120" i="1"/>
  <c r="J119" i="1"/>
  <c r="F119" i="1"/>
  <c r="E119" i="1"/>
  <c r="C119" i="1"/>
  <c r="M119" i="1" s="1"/>
  <c r="B119" i="1"/>
  <c r="J118" i="1"/>
  <c r="F118" i="1"/>
  <c r="E118" i="1"/>
  <c r="J117" i="1"/>
  <c r="F117" i="1"/>
  <c r="E117" i="1"/>
  <c r="J116" i="1"/>
  <c r="F116" i="1"/>
  <c r="E116" i="1"/>
  <c r="J115" i="1"/>
  <c r="F115" i="1"/>
  <c r="E115" i="1"/>
  <c r="J114" i="1"/>
  <c r="F114" i="1"/>
  <c r="E114" i="1"/>
  <c r="J113" i="1"/>
  <c r="F113" i="1"/>
  <c r="E113" i="1"/>
  <c r="J112" i="1"/>
  <c r="F112" i="1"/>
  <c r="E112" i="1"/>
  <c r="J111" i="1"/>
  <c r="F111" i="1"/>
  <c r="E111" i="1"/>
  <c r="J110" i="1"/>
  <c r="F110" i="1"/>
  <c r="E110" i="1"/>
  <c r="J109" i="1"/>
  <c r="F109" i="1"/>
  <c r="E109" i="1"/>
  <c r="J108" i="1"/>
  <c r="F108" i="1"/>
  <c r="E108" i="1"/>
  <c r="J107" i="1"/>
  <c r="F107" i="1"/>
  <c r="E107" i="1"/>
  <c r="J106" i="1"/>
  <c r="F106" i="1"/>
  <c r="E106" i="1"/>
  <c r="J105" i="1"/>
  <c r="F105" i="1"/>
  <c r="E105" i="1"/>
  <c r="J101" i="1"/>
  <c r="F101" i="1"/>
  <c r="E101" i="1"/>
  <c r="C101" i="1"/>
  <c r="M101" i="1" s="1"/>
  <c r="B101" i="1"/>
  <c r="J100" i="1"/>
  <c r="F100" i="1"/>
  <c r="E100" i="1"/>
  <c r="C100" i="1"/>
  <c r="M100" i="1" s="1"/>
  <c r="B100" i="1"/>
  <c r="J99" i="1"/>
  <c r="F99" i="1"/>
  <c r="E99" i="1"/>
  <c r="C99" i="1"/>
  <c r="M99" i="1" s="1"/>
  <c r="B99" i="1"/>
  <c r="J98" i="1"/>
  <c r="F98" i="1"/>
  <c r="E98" i="1"/>
  <c r="C98" i="1"/>
  <c r="M98" i="1" s="1"/>
  <c r="B98" i="1"/>
  <c r="J97" i="1"/>
  <c r="F97" i="1"/>
  <c r="E97" i="1"/>
  <c r="C97" i="1"/>
  <c r="M97" i="1" s="1"/>
  <c r="B97" i="1"/>
  <c r="J96" i="1"/>
  <c r="F96" i="1"/>
  <c r="E96" i="1"/>
  <c r="C96" i="1"/>
  <c r="M96" i="1" s="1"/>
  <c r="B96" i="1"/>
  <c r="J95" i="1"/>
  <c r="F95" i="1"/>
  <c r="E95" i="1"/>
  <c r="C95" i="1"/>
  <c r="M95" i="1" s="1"/>
  <c r="B95" i="1"/>
  <c r="J94" i="1"/>
  <c r="F94" i="1"/>
  <c r="E94" i="1"/>
  <c r="C94" i="1"/>
  <c r="M94" i="1" s="1"/>
  <c r="B94" i="1"/>
  <c r="J93" i="1"/>
  <c r="F93" i="1"/>
  <c r="E93" i="1"/>
  <c r="C93" i="1"/>
  <c r="M93" i="1" s="1"/>
  <c r="B93" i="1"/>
  <c r="J92" i="1"/>
  <c r="F92" i="1"/>
  <c r="E92" i="1"/>
  <c r="C92" i="1"/>
  <c r="M92" i="1" s="1"/>
  <c r="B92" i="1"/>
  <c r="J91" i="1"/>
  <c r="F91" i="1"/>
  <c r="E91" i="1"/>
  <c r="D91" i="1"/>
  <c r="C91" i="1"/>
  <c r="B91" i="1"/>
  <c r="J90" i="1"/>
  <c r="F90" i="1"/>
  <c r="E90" i="1"/>
  <c r="C90" i="1"/>
  <c r="M90" i="1" s="1"/>
  <c r="B90" i="1"/>
  <c r="J89" i="1"/>
  <c r="F89" i="1"/>
  <c r="E89" i="1"/>
  <c r="C89" i="1"/>
  <c r="M89" i="1" s="1"/>
  <c r="B89" i="1"/>
  <c r="J88" i="1"/>
  <c r="F88" i="1"/>
  <c r="E88" i="1"/>
  <c r="C88" i="1"/>
  <c r="M88" i="1" s="1"/>
  <c r="B88" i="1"/>
  <c r="J87" i="1"/>
  <c r="F87" i="1"/>
  <c r="E87" i="1"/>
  <c r="C87" i="1"/>
  <c r="M87" i="1" s="1"/>
  <c r="B87" i="1"/>
  <c r="J86" i="1"/>
  <c r="F86" i="1"/>
  <c r="E86" i="1"/>
  <c r="C86" i="1"/>
  <c r="M86" i="1" s="1"/>
  <c r="B86" i="1"/>
  <c r="J85" i="1"/>
  <c r="F85" i="1"/>
  <c r="E85" i="1"/>
  <c r="C85" i="1"/>
  <c r="M85" i="1" s="1"/>
  <c r="B85" i="1"/>
  <c r="J84" i="1"/>
  <c r="F84" i="1"/>
  <c r="E84" i="1"/>
  <c r="C84" i="1"/>
  <c r="M84" i="1" s="1"/>
  <c r="B84" i="1"/>
  <c r="J83" i="1"/>
  <c r="F83" i="1"/>
  <c r="E83" i="1"/>
  <c r="C83" i="1"/>
  <c r="M83" i="1" s="1"/>
  <c r="B83" i="1"/>
  <c r="J82" i="1"/>
  <c r="F82" i="1"/>
  <c r="E82" i="1"/>
  <c r="C82" i="1"/>
  <c r="M82" i="1" s="1"/>
  <c r="B82" i="1"/>
  <c r="B59" i="1"/>
  <c r="B56" i="1"/>
  <c r="B55" i="1"/>
  <c r="B54" i="1"/>
  <c r="B47" i="1"/>
  <c r="E44" i="1"/>
  <c r="D44" i="1"/>
  <c r="C44" i="1"/>
  <c r="E43" i="1"/>
  <c r="D43" i="1"/>
  <c r="E42" i="1"/>
  <c r="D42" i="1"/>
  <c r="C42" i="1"/>
  <c r="B28" i="1"/>
  <c r="B25" i="1"/>
  <c r="B13" i="1"/>
  <c r="D157" i="1" l="1"/>
  <c r="L157" i="1"/>
  <c r="N157" i="1" s="1"/>
  <c r="L156" i="1"/>
  <c r="N156" i="1" s="1"/>
  <c r="D156" i="1"/>
  <c r="D155" i="1"/>
  <c r="L155" i="1"/>
  <c r="N155" i="1" s="1"/>
  <c r="D154" i="1"/>
  <c r="L154" i="1"/>
  <c r="N154" i="1" s="1"/>
  <c r="D153" i="1"/>
  <c r="L153" i="1"/>
  <c r="N153" i="1" s="1"/>
  <c r="D152" i="1"/>
  <c r="L152" i="1"/>
  <c r="N152" i="1" s="1"/>
  <c r="D151" i="1"/>
  <c r="L151" i="1"/>
  <c r="N151" i="1" s="1"/>
  <c r="D150" i="1"/>
  <c r="L150" i="1"/>
  <c r="N150" i="1" s="1"/>
  <c r="D149" i="1"/>
  <c r="L149" i="1"/>
  <c r="N149" i="1" s="1"/>
  <c r="L148" i="1"/>
  <c r="N148" i="1" s="1"/>
  <c r="D148" i="1"/>
  <c r="L147" i="1"/>
  <c r="N147" i="1" s="1"/>
  <c r="D147" i="1"/>
  <c r="L145" i="1"/>
  <c r="N145" i="1" s="1"/>
  <c r="D145" i="1"/>
  <c r="D144" i="1"/>
  <c r="L144" i="1"/>
  <c r="N144" i="1" s="1"/>
  <c r="D143" i="1"/>
  <c r="L143" i="1"/>
  <c r="N143" i="1" s="1"/>
  <c r="D142" i="1"/>
  <c r="L142" i="1"/>
  <c r="N142" i="1" s="1"/>
  <c r="D141" i="1"/>
  <c r="L141" i="1"/>
  <c r="N141" i="1" s="1"/>
  <c r="L140" i="1"/>
  <c r="N140" i="1" s="1"/>
  <c r="D140" i="1"/>
  <c r="L139" i="1"/>
  <c r="N139" i="1" s="1"/>
  <c r="D139" i="1"/>
  <c r="D138" i="1"/>
  <c r="L138" i="1"/>
  <c r="N138" i="1" s="1"/>
  <c r="D137" i="1"/>
  <c r="L137" i="1"/>
  <c r="N137" i="1" s="1"/>
  <c r="D136" i="1"/>
  <c r="L136" i="1"/>
  <c r="N136" i="1" s="1"/>
  <c r="L135" i="1"/>
  <c r="N135" i="1" s="1"/>
  <c r="D135" i="1"/>
  <c r="L134" i="1"/>
  <c r="N134" i="1" s="1"/>
  <c r="D134" i="1"/>
  <c r="D133" i="1"/>
  <c r="L133" i="1"/>
  <c r="N133" i="1" s="1"/>
  <c r="L132" i="1"/>
  <c r="N132" i="1" s="1"/>
  <c r="D132" i="1"/>
  <c r="D131" i="1"/>
  <c r="L131" i="1"/>
  <c r="N131" i="1" s="1"/>
  <c r="L130" i="1"/>
  <c r="N130" i="1" s="1"/>
  <c r="D130" i="1"/>
  <c r="L129" i="1"/>
  <c r="N129" i="1" s="1"/>
  <c r="D129" i="1"/>
  <c r="D128" i="1"/>
  <c r="L128" i="1"/>
  <c r="N128" i="1" s="1"/>
  <c r="B78" i="1" s="1"/>
  <c r="D121" i="1"/>
  <c r="L121" i="1"/>
  <c r="N121" i="1" s="1"/>
  <c r="L120" i="1"/>
  <c r="N120" i="1" s="1"/>
  <c r="D120" i="1"/>
  <c r="D119" i="1"/>
  <c r="L119" i="1"/>
  <c r="N119" i="1" s="1"/>
  <c r="L101" i="1"/>
  <c r="N101" i="1" s="1"/>
  <c r="D101" i="1"/>
  <c r="L100" i="1"/>
  <c r="N100" i="1" s="1"/>
  <c r="D100" i="1"/>
  <c r="L99" i="1"/>
  <c r="N99" i="1" s="1"/>
  <c r="D99" i="1"/>
  <c r="D98" i="1"/>
  <c r="L98" i="1"/>
  <c r="N98" i="1" s="1"/>
  <c r="D97" i="1"/>
  <c r="L97" i="1"/>
  <c r="N97" i="1" s="1"/>
  <c r="D96" i="1"/>
  <c r="L96" i="1"/>
  <c r="N96" i="1" s="1"/>
  <c r="L95" i="1"/>
  <c r="N95" i="1" s="1"/>
  <c r="D95" i="1"/>
  <c r="L94" i="1"/>
  <c r="N94" i="1" s="1"/>
  <c r="D94" i="1"/>
  <c r="L93" i="1"/>
  <c r="N93" i="1" s="1"/>
  <c r="D93" i="1"/>
  <c r="D92" i="1"/>
  <c r="L92" i="1"/>
  <c r="N92" i="1" s="1"/>
  <c r="L90" i="1"/>
  <c r="N90" i="1" s="1"/>
  <c r="D90" i="1"/>
  <c r="D89" i="1"/>
  <c r="L89" i="1"/>
  <c r="N89" i="1" s="1"/>
  <c r="L88" i="1"/>
  <c r="N88" i="1" s="1"/>
  <c r="D88" i="1"/>
  <c r="L87" i="1"/>
  <c r="N87" i="1" s="1"/>
  <c r="D87" i="1"/>
  <c r="L86" i="1"/>
  <c r="N86" i="1" s="1"/>
  <c r="D86" i="1"/>
  <c r="L85" i="1"/>
  <c r="N85" i="1" s="1"/>
  <c r="D85" i="1"/>
  <c r="D84" i="1"/>
  <c r="L84" i="1"/>
  <c r="N84" i="1" s="1"/>
  <c r="D83" i="1"/>
  <c r="L83" i="1"/>
  <c r="N83" i="1" s="1"/>
  <c r="B164" i="1"/>
  <c r="L82" i="1"/>
  <c r="N82" i="1" s="1"/>
  <c r="D82" i="1"/>
  <c r="B57" i="1"/>
  <c r="B166" i="1"/>
  <c r="B49" i="1"/>
  <c r="B48" i="1"/>
  <c r="L91" i="1"/>
  <c r="M91" i="1"/>
  <c r="C110" i="1"/>
  <c r="M110" i="1" s="1"/>
  <c r="C43" i="1"/>
  <c r="B107" i="1"/>
  <c r="C107" i="1"/>
  <c r="M107" i="1" s="1"/>
  <c r="B108" i="1"/>
  <c r="C108" i="1"/>
  <c r="M108" i="1" s="1"/>
  <c r="B109" i="1"/>
  <c r="C109" i="1"/>
  <c r="M109" i="1" s="1"/>
  <c r="B110" i="1"/>
  <c r="B106" i="1"/>
  <c r="B111" i="1"/>
  <c r="C111" i="1"/>
  <c r="M111" i="1" s="1"/>
  <c r="B112" i="1"/>
  <c r="C112" i="1"/>
  <c r="M112" i="1" s="1"/>
  <c r="B113" i="1"/>
  <c r="C113" i="1"/>
  <c r="M113" i="1" s="1"/>
  <c r="B114" i="1"/>
  <c r="C114" i="1"/>
  <c r="M114" i="1" s="1"/>
  <c r="B115" i="1"/>
  <c r="C115" i="1"/>
  <c r="M115" i="1" s="1"/>
  <c r="B116" i="1"/>
  <c r="C116" i="1"/>
  <c r="M116" i="1" s="1"/>
  <c r="C105" i="1"/>
  <c r="M105" i="1" s="1"/>
  <c r="C117" i="1"/>
  <c r="M117" i="1" s="1"/>
  <c r="B118" i="1"/>
  <c r="C118" i="1"/>
  <c r="M118" i="1" s="1"/>
  <c r="B122" i="1"/>
  <c r="C122" i="1"/>
  <c r="M122" i="1" s="1"/>
  <c r="B123" i="1"/>
  <c r="C123" i="1"/>
  <c r="M123" i="1" s="1"/>
  <c r="B124" i="1"/>
  <c r="B105" i="1"/>
  <c r="C124" i="1"/>
  <c r="M124" i="1" s="1"/>
  <c r="B117" i="1"/>
  <c r="C106" i="1"/>
  <c r="M106" i="1" s="1"/>
  <c r="B33" i="1" l="1"/>
  <c r="D107" i="1"/>
  <c r="L107" i="1"/>
  <c r="N107" i="1" s="1"/>
  <c r="D108" i="1"/>
  <c r="L108" i="1"/>
  <c r="N108" i="1" s="1"/>
  <c r="D109" i="1"/>
  <c r="L109" i="1"/>
  <c r="N109" i="1" s="1"/>
  <c r="D110" i="1"/>
  <c r="L110" i="1"/>
  <c r="N110" i="1" s="1"/>
  <c r="D106" i="1"/>
  <c r="L106" i="1"/>
  <c r="N106" i="1" s="1"/>
  <c r="D111" i="1"/>
  <c r="L111" i="1"/>
  <c r="N111" i="1" s="1"/>
  <c r="D112" i="1"/>
  <c r="L112" i="1"/>
  <c r="N112" i="1" s="1"/>
  <c r="D113" i="1"/>
  <c r="L113" i="1"/>
  <c r="N113" i="1" s="1"/>
  <c r="D114" i="1"/>
  <c r="L114" i="1"/>
  <c r="N114" i="1" s="1"/>
  <c r="D115" i="1"/>
  <c r="L115" i="1"/>
  <c r="N115" i="1" s="1"/>
  <c r="D116" i="1"/>
  <c r="L116" i="1"/>
  <c r="N116" i="1" s="1"/>
  <c r="D118" i="1"/>
  <c r="L118" i="1"/>
  <c r="N118" i="1" s="1"/>
  <c r="D122" i="1"/>
  <c r="L122" i="1"/>
  <c r="N122" i="1" s="1"/>
  <c r="D123" i="1"/>
  <c r="L123" i="1"/>
  <c r="N123" i="1" s="1"/>
  <c r="D124" i="1"/>
  <c r="L124" i="1"/>
  <c r="N124" i="1" s="1"/>
  <c r="D105" i="1"/>
  <c r="L105" i="1"/>
  <c r="N105" i="1" s="1"/>
  <c r="D117" i="1"/>
  <c r="L117" i="1"/>
  <c r="N117" i="1" s="1"/>
  <c r="N91" i="1"/>
  <c r="B76" i="1" s="1"/>
  <c r="B34" i="1" l="1"/>
  <c r="B35" i="1"/>
  <c r="B38" i="1" s="1"/>
  <c r="B58" i="1"/>
  <c r="B165" i="1"/>
  <c r="B77" i="1"/>
  <c r="B163" i="1" s="1"/>
  <c r="B36" i="1" l="1"/>
  <c r="B37" i="1" s="1"/>
  <c r="G106" i="1" l="1"/>
  <c r="H106" i="1" s="1"/>
  <c r="K106" i="1" s="1"/>
  <c r="I105" i="1"/>
  <c r="G105" i="1"/>
  <c r="H105" i="1" s="1"/>
  <c r="K105" i="1" s="1"/>
  <c r="I101" i="1"/>
  <c r="G101" i="1"/>
  <c r="H101" i="1" s="1"/>
  <c r="K101" i="1" s="1"/>
  <c r="I100" i="1"/>
  <c r="G99" i="1"/>
  <c r="H99" i="1" s="1"/>
  <c r="K99" i="1" s="1"/>
  <c r="I98" i="1"/>
  <c r="I97" i="1"/>
  <c r="G94" i="1"/>
  <c r="H94" i="1" s="1"/>
  <c r="K94" i="1" s="1"/>
  <c r="I93" i="1"/>
  <c r="G92" i="1"/>
  <c r="H92" i="1" s="1"/>
  <c r="K92" i="1" s="1"/>
  <c r="I157" i="1"/>
  <c r="G157" i="1"/>
  <c r="H157" i="1" s="1"/>
  <c r="K157" i="1" s="1"/>
  <c r="G156" i="1"/>
  <c r="H156" i="1" s="1"/>
  <c r="K156" i="1" s="1"/>
  <c r="I155" i="1"/>
  <c r="I151" i="1"/>
  <c r="G149" i="1"/>
  <c r="H149" i="1" s="1"/>
  <c r="K149" i="1" s="1"/>
  <c r="I90" i="1"/>
  <c r="G90" i="1"/>
  <c r="H90" i="1" s="1"/>
  <c r="K90" i="1" s="1"/>
  <c r="I89" i="1"/>
  <c r="G89" i="1"/>
  <c r="H89" i="1" s="1"/>
  <c r="K89" i="1" s="1"/>
  <c r="I88" i="1"/>
  <c r="G88" i="1"/>
  <c r="H88" i="1" s="1"/>
  <c r="K88" i="1" s="1"/>
  <c r="I87" i="1"/>
  <c r="G87" i="1"/>
  <c r="H87" i="1" s="1"/>
  <c r="K87" i="1" s="1"/>
  <c r="I86" i="1"/>
  <c r="G86" i="1"/>
  <c r="H86" i="1" s="1"/>
  <c r="K86" i="1" s="1"/>
  <c r="I85" i="1"/>
  <c r="G85" i="1"/>
  <c r="H85" i="1" s="1"/>
  <c r="K85" i="1" s="1"/>
  <c r="I84" i="1"/>
  <c r="G84" i="1"/>
  <c r="H84" i="1" s="1"/>
  <c r="K84" i="1" s="1"/>
  <c r="I83" i="1"/>
  <c r="G83" i="1"/>
  <c r="H83" i="1" s="1"/>
  <c r="K83" i="1" s="1"/>
  <c r="I82" i="1"/>
  <c r="G82" i="1"/>
  <c r="H82" i="1" s="1"/>
  <c r="K82" i="1" s="1"/>
  <c r="I145" i="1"/>
  <c r="G145" i="1"/>
  <c r="H145" i="1" s="1"/>
  <c r="K145" i="1" s="1"/>
  <c r="I144" i="1"/>
  <c r="G144" i="1"/>
  <c r="H144" i="1" s="1"/>
  <c r="K144" i="1" s="1"/>
  <c r="I143" i="1"/>
  <c r="G143" i="1"/>
  <c r="H143" i="1" s="1"/>
  <c r="K143" i="1" s="1"/>
  <c r="I142" i="1"/>
  <c r="G142" i="1"/>
  <c r="H142" i="1" s="1"/>
  <c r="K142" i="1" s="1"/>
  <c r="I141" i="1"/>
  <c r="G141" i="1"/>
  <c r="H141" i="1" s="1"/>
  <c r="K141" i="1" s="1"/>
  <c r="I140" i="1"/>
  <c r="G140" i="1"/>
  <c r="H140" i="1" s="1"/>
  <c r="K140" i="1" s="1"/>
  <c r="I139" i="1"/>
  <c r="G139" i="1"/>
  <c r="H139" i="1" s="1"/>
  <c r="K139" i="1" s="1"/>
  <c r="I138" i="1"/>
  <c r="G138" i="1"/>
  <c r="H138" i="1" s="1"/>
  <c r="K138" i="1" s="1"/>
  <c r="I137" i="1"/>
  <c r="G137" i="1"/>
  <c r="H137" i="1" s="1"/>
  <c r="K137" i="1" s="1"/>
  <c r="I136" i="1"/>
  <c r="G136" i="1"/>
  <c r="H136" i="1" s="1"/>
  <c r="K136" i="1" s="1"/>
  <c r="I135" i="1"/>
  <c r="G135" i="1"/>
  <c r="H135" i="1" s="1"/>
  <c r="K135" i="1" s="1"/>
  <c r="I134" i="1"/>
  <c r="G134" i="1"/>
  <c r="H134" i="1" s="1"/>
  <c r="K134" i="1" s="1"/>
  <c r="I147" i="1"/>
  <c r="G147" i="1"/>
  <c r="H147" i="1" s="1"/>
  <c r="K147" i="1" s="1"/>
  <c r="I133" i="1"/>
  <c r="G133" i="1"/>
  <c r="H133" i="1" s="1"/>
  <c r="K133" i="1" s="1"/>
  <c r="I132" i="1"/>
  <c r="G132" i="1"/>
  <c r="H132" i="1" s="1"/>
  <c r="K132" i="1" s="1"/>
  <c r="I131" i="1"/>
  <c r="G131" i="1"/>
  <c r="H131" i="1" s="1"/>
  <c r="K131" i="1" s="1"/>
  <c r="I130" i="1"/>
  <c r="G130" i="1"/>
  <c r="H130" i="1" s="1"/>
  <c r="K130" i="1" s="1"/>
  <c r="I129" i="1"/>
  <c r="G129" i="1"/>
  <c r="H129" i="1" s="1"/>
  <c r="K129" i="1" s="1"/>
  <c r="I128" i="1"/>
  <c r="G128" i="1"/>
  <c r="H128" i="1" s="1"/>
  <c r="K128" i="1" s="1"/>
  <c r="I124" i="1"/>
  <c r="G124" i="1"/>
  <c r="H124" i="1" s="1"/>
  <c r="K124" i="1" s="1"/>
  <c r="I123" i="1"/>
  <c r="G123" i="1"/>
  <c r="H123" i="1" s="1"/>
  <c r="K123" i="1" s="1"/>
  <c r="I122" i="1"/>
  <c r="G122" i="1"/>
  <c r="H122" i="1" s="1"/>
  <c r="K122" i="1" s="1"/>
  <c r="I121" i="1"/>
  <c r="G121" i="1"/>
  <c r="H121" i="1" s="1"/>
  <c r="K121" i="1" s="1"/>
  <c r="I120" i="1"/>
  <c r="G120" i="1"/>
  <c r="H120" i="1" s="1"/>
  <c r="K120" i="1" s="1"/>
  <c r="I119" i="1"/>
  <c r="G119" i="1"/>
  <c r="H119" i="1" s="1"/>
  <c r="K119" i="1" s="1"/>
  <c r="I156" i="1"/>
  <c r="G155" i="1"/>
  <c r="H155" i="1" s="1"/>
  <c r="K155" i="1" s="1"/>
  <c r="I154" i="1"/>
  <c r="G154" i="1"/>
  <c r="H154" i="1" s="1"/>
  <c r="K154" i="1" s="1"/>
  <c r="I153" i="1"/>
  <c r="G153" i="1"/>
  <c r="H153" i="1" s="1"/>
  <c r="K153" i="1" s="1"/>
  <c r="I152" i="1"/>
  <c r="G152" i="1"/>
  <c r="H152" i="1" s="1"/>
  <c r="K152" i="1" s="1"/>
  <c r="G151" i="1"/>
  <c r="H151" i="1" s="1"/>
  <c r="K151" i="1" s="1"/>
  <c r="I150" i="1"/>
  <c r="G150" i="1"/>
  <c r="H150" i="1" s="1"/>
  <c r="K150" i="1" s="1"/>
  <c r="I149" i="1"/>
  <c r="I148" i="1"/>
  <c r="G148" i="1"/>
  <c r="H148" i="1" s="1"/>
  <c r="K148" i="1" s="1"/>
  <c r="I146" i="1"/>
  <c r="G146" i="1"/>
  <c r="H146" i="1" s="1"/>
  <c r="K146" i="1" s="1"/>
  <c r="I118" i="1"/>
  <c r="G118" i="1"/>
  <c r="H118" i="1" s="1"/>
  <c r="K118" i="1" s="1"/>
  <c r="I117" i="1"/>
  <c r="G117" i="1"/>
  <c r="H117" i="1" s="1"/>
  <c r="K117" i="1" s="1"/>
  <c r="I116" i="1"/>
  <c r="G116" i="1"/>
  <c r="H116" i="1" s="1"/>
  <c r="K116" i="1" s="1"/>
  <c r="I115" i="1"/>
  <c r="G115" i="1"/>
  <c r="H115" i="1" s="1"/>
  <c r="K115" i="1" s="1"/>
  <c r="I114" i="1"/>
  <c r="G114" i="1"/>
  <c r="H114" i="1" s="1"/>
  <c r="K114" i="1" s="1"/>
  <c r="I113" i="1"/>
  <c r="G113" i="1"/>
  <c r="H113" i="1" s="1"/>
  <c r="K113" i="1" s="1"/>
  <c r="I112" i="1"/>
  <c r="G112" i="1"/>
  <c r="H112" i="1" s="1"/>
  <c r="K112" i="1" s="1"/>
  <c r="I111" i="1"/>
  <c r="G111" i="1"/>
  <c r="H111" i="1" s="1"/>
  <c r="K111" i="1" s="1"/>
  <c r="I110" i="1"/>
  <c r="G110" i="1"/>
  <c r="H110" i="1" s="1"/>
  <c r="K110" i="1" s="1"/>
  <c r="I109" i="1"/>
  <c r="G109" i="1"/>
  <c r="H109" i="1" s="1"/>
  <c r="K109" i="1" s="1"/>
  <c r="I108" i="1"/>
  <c r="G108" i="1"/>
  <c r="H108" i="1" s="1"/>
  <c r="K108" i="1" s="1"/>
  <c r="I107" i="1"/>
  <c r="G107" i="1"/>
  <c r="H107" i="1" s="1"/>
  <c r="K107" i="1" s="1"/>
  <c r="I106" i="1"/>
  <c r="G100" i="1"/>
  <c r="H100" i="1" s="1"/>
  <c r="K100" i="1" s="1"/>
  <c r="I99" i="1"/>
  <c r="G98" i="1"/>
  <c r="H98" i="1" s="1"/>
  <c r="K98" i="1" s="1"/>
  <c r="G97" i="1"/>
  <c r="H97" i="1" s="1"/>
  <c r="K97" i="1" s="1"/>
  <c r="I96" i="1"/>
  <c r="G96" i="1"/>
  <c r="H96" i="1" s="1"/>
  <c r="K96" i="1" s="1"/>
  <c r="I95" i="1"/>
  <c r="G95" i="1"/>
  <c r="H95" i="1" s="1"/>
  <c r="K95" i="1" s="1"/>
  <c r="I94" i="1"/>
  <c r="G93" i="1"/>
  <c r="H93" i="1" s="1"/>
  <c r="K93" i="1" s="1"/>
  <c r="I92" i="1"/>
  <c r="I91" i="1"/>
  <c r="G91" i="1"/>
  <c r="H91" i="1" s="1"/>
  <c r="K91" i="1" s="1"/>
  <c r="F44" i="1"/>
  <c r="G44" i="1" s="1"/>
  <c r="H44" i="1" s="1"/>
  <c r="F42" i="1"/>
  <c r="F43" i="1"/>
  <c r="G43" i="1" s="1"/>
  <c r="H43" i="1" s="1"/>
  <c r="G42" i="1" l="1"/>
  <c r="H42" i="1" l="1"/>
  <c r="B50" i="1"/>
  <c r="B51" i="1" s="1"/>
  <c r="B162" i="1" s="1"/>
  <c r="B167" i="1" l="1"/>
</calcChain>
</file>

<file path=xl/sharedStrings.xml><?xml version="1.0" encoding="utf-8"?>
<sst xmlns="http://schemas.openxmlformats.org/spreadsheetml/2006/main" count="305" uniqueCount="226">
  <si>
    <t>Perfect Competition — Market Garden Marginal Analysis</t>
  </si>
  <si>
    <t>Yellow = scenario input; orange = Solver decision cell; all other numbers are formulas on named ranges.</t>
  </si>
  <si>
    <t>inputs — scenario parameters (spec §2)</t>
  </si>
  <si>
    <t>Variable</t>
  </si>
  <si>
    <t>Value</t>
  </si>
  <si>
    <t>Unit</t>
  </si>
  <si>
    <t>Source in Case Scenario</t>
  </si>
  <si>
    <t>BED_CAP_TOMATOES</t>
  </si>
  <si>
    <t>beds</t>
  </si>
  <si>
    <t>Case Scenario Table 1 ("The Givens")</t>
  </si>
  <si>
    <t>BED_CAP_CARROTS</t>
  </si>
  <si>
    <t>BED_CAP_MESCLUN</t>
  </si>
  <si>
    <t>REV_PER_BED_TOMATOES</t>
  </si>
  <si>
    <t>USD / bed</t>
  </si>
  <si>
    <t>REV_PER_BED_CARROTS</t>
  </si>
  <si>
    <t>REV_PER_BED_MESCLUN</t>
  </si>
  <si>
    <t>BASE_HRS_TOMATOES</t>
  </si>
  <si>
    <t>hrs / wk / bed</t>
  </si>
  <si>
    <t>BASE_HRS_CARROTS</t>
  </si>
  <si>
    <t>Case Scenario Table 1 (Exact fraction for 0.833)</t>
  </si>
  <si>
    <t>BASE_HRS_MESCLUN</t>
  </si>
  <si>
    <t>FERT_PER_BED_TOMATOES</t>
  </si>
  <si>
    <t>FERT_PER_BED_CARROTS</t>
  </si>
  <si>
    <t>FERT_PER_BED_MESCLUN</t>
  </si>
  <si>
    <t>DIM_RATE_TOMATOES</t>
  </si>
  <si>
    <t>rate (10%)</t>
  </si>
  <si>
    <t>DIM_RATE_CARROTS</t>
  </si>
  <si>
    <t>rate (2.5%)</t>
  </si>
  <si>
    <t>DIM_RATE_MESCLUN</t>
  </si>
  <si>
    <t>rate (1.25%)</t>
  </si>
  <si>
    <t>FARM_BEDS_AVAIL</t>
  </si>
  <si>
    <t>Case Scenario Table 2 ("The Givens")</t>
  </si>
  <si>
    <t>SEASON_WEEKS</t>
  </si>
  <si>
    <t>weeks</t>
  </si>
  <si>
    <t>FIXED_COSTS</t>
  </si>
  <si>
    <t>USD / season</t>
  </si>
  <si>
    <t>OWNER_MAX_HRS</t>
  </si>
  <si>
    <t>hours / season</t>
  </si>
  <si>
    <t>OWNER_HOURLY_RATE</t>
  </si>
  <si>
    <t>USD / hour</t>
  </si>
  <si>
    <t>Case Scenario Table 2 (implied; the stated $34.72 is a rounded display value)</t>
  </si>
  <si>
    <t>TEMP_WORKERS_MAX</t>
  </si>
  <si>
    <t>workers</t>
  </si>
  <si>
    <t>TEMP_WORKER_MAX_HRS</t>
  </si>
  <si>
    <t>hours / worker</t>
  </si>
  <si>
    <t>TEMP_HOURLY_RATE</t>
  </si>
  <si>
    <t>Case Scenario Table 2 (implied; the stated $17.36 is a rounded display value)</t>
  </si>
  <si>
    <t>TOTAL_LABOR_CAP</t>
  </si>
  <si>
    <t>hours</t>
  </si>
  <si>
    <t>Case Scenario Table 2 (720 + 4 × 1,440 hrs)</t>
  </si>
  <si>
    <t>cost_structure — farm labor cascade (spec §4.6–4.10, 4.21)</t>
  </si>
  <si>
    <t>Item</t>
  </si>
  <si>
    <t>Formula (spec §4)</t>
  </si>
  <si>
    <t>TOTAL_FARM_LABOR_HRS</t>
  </si>
  <si>
    <t>§4.6</t>
  </si>
  <si>
    <t>OWNER_HRS_USED</t>
  </si>
  <si>
    <t>§4.7</t>
  </si>
  <si>
    <t>TEMP_HRS_NEEDED</t>
  </si>
  <si>
    <t>§4.8</t>
  </si>
  <si>
    <t>TOTAL_LABOR_COST</t>
  </si>
  <si>
    <t>USD</t>
  </si>
  <si>
    <t>§4.9</t>
  </si>
  <si>
    <t>BLENDED_LABOR_RATE</t>
  </si>
  <si>
    <t>§4.10</t>
  </si>
  <si>
    <t>TEMP_WORKERS_HIRED_EQUIVALENT</t>
  </si>
  <si>
    <t>FTE (unrounded)</t>
  </si>
  <si>
    <t>§4.21</t>
  </si>
  <si>
    <t>optimization — decision cells, farm P&amp;L, Solver set-up, constraint checks (spec §4.1–4.5, 4.11–4.12, 4.16–4.20, §5)</t>
  </si>
  <si>
    <t>Crop</t>
  </si>
  <si>
    <t>Beds (decision)</t>
  </si>
  <si>
    <t>Labor hours</t>
  </si>
  <si>
    <t>Crop revenue</t>
  </si>
  <si>
    <t>Fertilizer cost</t>
  </si>
  <si>
    <t>Allocated labor cost</t>
  </si>
  <si>
    <t>Crop TVC</t>
  </si>
  <si>
    <t>Cumulative contribution</t>
  </si>
  <si>
    <t>Tomatoes</t>
  </si>
  <si>
    <t>Carrots</t>
  </si>
  <si>
    <t>Mesclun</t>
  </si>
  <si>
    <t>Farm P&amp;L</t>
  </si>
  <si>
    <t>TOTAL_BEDS_PLANTED</t>
  </si>
  <si>
    <t>§4.5</t>
  </si>
  <si>
    <t>TOTAL_FARM_REVENUE</t>
  </si>
  <si>
    <t>§4.16</t>
  </si>
  <si>
    <t>TOTAL_FERTILIZER_COST</t>
  </si>
  <si>
    <t>§4.17</t>
  </si>
  <si>
    <t>TOTAL_FARM_TVC</t>
  </si>
  <si>
    <t>§4.18</t>
  </si>
  <si>
    <t>NET_SEASON_PROFIT</t>
  </si>
  <si>
    <t>§4.19 (Solver objective)</t>
  </si>
  <si>
    <t>Solver constraint</t>
  </si>
  <si>
    <t>Satisfied?</t>
  </si>
  <si>
    <t>Constraint (spec §5)</t>
  </si>
  <si>
    <t>CONSTRAINT_BED_CAP_TOMATOES</t>
  </si>
  <si>
    <t>1. BEDS_TOMATOES &lt;= BED_CAP_TOMATOES</t>
  </si>
  <si>
    <t>CONSTRAINT_BED_CAP_CARROTS</t>
  </si>
  <si>
    <t>2. BEDS_CARROTS &lt;= BED_CAP_CARROTS</t>
  </si>
  <si>
    <t>CONSTRAINT_BED_CAP_MESCLUN</t>
  </si>
  <si>
    <t>3. BEDS_MESCLUN &lt;= BED_CAP_MESCLUN</t>
  </si>
  <si>
    <t>CONSTRAINT_FARM_BEDS</t>
  </si>
  <si>
    <t>4. TOTAL_BEDS_PLANTED &lt;= FARM_BEDS_AVAIL</t>
  </si>
  <si>
    <t>CONSTRAINT_LABOR_CAP</t>
  </si>
  <si>
    <t>5. TOTAL_FARM_LABOR_HRS &lt;= TOTAL_LABOR_CAP</t>
  </si>
  <si>
    <t>CONSTRAINT_INTEGER_NONNEG</t>
  </si>
  <si>
    <t>6. BEDS_TOMATOES, BEDS_CARROTS, BEDS_MESCLUN = integer &gt;= 0</t>
  </si>
  <si>
    <t>Solver Parameters (enter in Data &gt; Solver)</t>
  </si>
  <si>
    <t>Setting</t>
  </si>
  <si>
    <t>Objective cell</t>
  </si>
  <si>
    <t>NET_SEASON_PROFIT — Max</t>
  </si>
  <si>
    <t>Changing variable cells</t>
  </si>
  <si>
    <t>BEDS_TOMATOES, BEDS_CARROTS, BEDS_MESCLUN</t>
  </si>
  <si>
    <t>Solving method</t>
  </si>
  <si>
    <t>GRG Nonlinear</t>
  </si>
  <si>
    <t>Constraint 1</t>
  </si>
  <si>
    <t>BEDS_TOMATOES &lt;= BED_CAP_TOMATOES</t>
  </si>
  <si>
    <t>Constraint 2</t>
  </si>
  <si>
    <t>BEDS_CARROTS &lt;= BED_CAP_CARROTS</t>
  </si>
  <si>
    <t>Constraint 3</t>
  </si>
  <si>
    <t>BEDS_MESCLUN &lt;= BED_CAP_MESCLUN</t>
  </si>
  <si>
    <t>Constraint 4</t>
  </si>
  <si>
    <t>TOTAL_BEDS_PLANTED &lt;= FARM_BEDS_AVAIL</t>
  </si>
  <si>
    <t>Constraint 5</t>
  </si>
  <si>
    <t>TOTAL_FARM_LABOR_HRS &lt;= TOTAL_LABOR_CAP</t>
  </si>
  <si>
    <t>Constraint 6</t>
  </si>
  <si>
    <t>BEDS_TOMATOES, BEDS_CARROTS, BEDS_MESCLUN = int; tick 'Make Unconstrained Variables Non-Negative'</t>
  </si>
  <si>
    <t>Multi-start audit</t>
  </si>
  <si>
    <t>Run from Start State A (0, 0, 0) and Start State B (20, 0, 0); both must converge to (10, 20, 30)</t>
  </si>
  <si>
    <t>Saved state</t>
  </si>
  <si>
    <t>Decision cells saved at the expected optimum (10, 20, 30); Solver not run in this build</t>
  </si>
  <si>
    <t>marginal_cost — bed-by-bed schedules (spec §4.1, 4.3–4.4, 4.11–4.15, 4.20, 4.22)</t>
  </si>
  <si>
    <t>Standalone P ≈ MC</t>
  </si>
  <si>
    <t>Beds</t>
  </si>
  <si>
    <t>Rule (spec §4.22, §5)</t>
  </si>
  <si>
    <t>STANDALONE_PMC_TOMATOES</t>
  </si>
  <si>
    <t>Last q before the first bed where step-wise standalone MC &gt; P, capped at BED_CAP_TOMATOES</t>
  </si>
  <si>
    <t>STANDALONE_PMC_CARROTS</t>
  </si>
  <si>
    <t>Last q before the first bed where step-wise standalone MC &gt; P, capped at BED_CAP_CARROTS</t>
  </si>
  <si>
    <t>STANDALONE_PMC_MESCLUN</t>
  </si>
  <si>
    <t>Last q before the first bed where step-wise standalone MC &gt; P, capped at BED_CAP_MESCLUN</t>
  </si>
  <si>
    <t>Tomatoes schedule (q = 1 … BED_CAP_TOMATOES)</t>
  </si>
  <si>
    <t>Stage 3 note: standalone step-wise MC dips at q = 6, where cumulative hours first exceed OWNER_MAX_HRS and the temp wage applies.</t>
  </si>
  <si>
    <t>q (bed)</t>
  </si>
  <si>
    <t>LABOR_HRS(q)</t>
  </si>
  <si>
    <t>LABOR_HRS(q−1)</t>
  </si>
  <si>
    <t>Marginal labor hrs</t>
  </si>
  <si>
    <t>Crop revenue(q)</t>
  </si>
  <si>
    <t>Fertilizer cost(q)</t>
  </si>
  <si>
    <t>Allocated labor cost(q) @ blended rate</t>
  </si>
  <si>
    <t>Crop TVC(q)</t>
  </si>
  <si>
    <t>MC(q) @ blended rate</t>
  </si>
  <si>
    <t>P = MR(q)</t>
  </si>
  <si>
    <t>Cumulative contribution(q)</t>
  </si>
  <si>
    <t>Standalone labor cost(q), owner then temp</t>
  </si>
  <si>
    <t>Standalone labor cost(q−1)</t>
  </si>
  <si>
    <t>Standalone MC(q), step-wise wage</t>
  </si>
  <si>
    <t>Carrots schedule (q = 1 … BED_CAP_CARROTS)</t>
  </si>
  <si>
    <t>Mesclun schedule (q = 1 … BED_CAP_MESCLUN)</t>
  </si>
  <si>
    <t>checks — acceptance criteria (spec §6)</t>
  </si>
  <si>
    <t>Check</t>
  </si>
  <si>
    <t>Result</t>
  </si>
  <si>
    <t>Rule</t>
  </si>
  <si>
    <t>CHECK_OPTIMAL_MIX</t>
  </si>
  <si>
    <t>Optimal mix is (10, 20, 30)</t>
  </si>
  <si>
    <t>CHECK_NET_PROFIT</t>
  </si>
  <si>
    <t>Net season profit within $1 of $42,762</t>
  </si>
  <si>
    <t>CHECK_STANDALONE_PMC</t>
  </si>
  <si>
    <t>Standalone P ≈ MC within ±1 bed of ~10 / ~10 / ~6</t>
  </si>
  <si>
    <t>CHECK_HAND_CALC_Q1</t>
  </si>
  <si>
    <t>q = 1 tomato labor = 1 × 2.5 × 36 × 1.10 = 99.0 hours</t>
  </si>
  <si>
    <t>CHECK_LABOR_CAP</t>
  </si>
  <si>
    <t>Total farm labor hours &lt;= 6,480</t>
  </si>
  <si>
    <t>CHECK_LAND_CAP</t>
  </si>
  <si>
    <t>Total beds planted &lt;= 64</t>
  </si>
  <si>
    <t>CHECK_NO_ERRORS_AND_FORMULAS</t>
  </si>
  <si>
    <t>For each CALCULATED_RANGES_* block: zero error cells, and ISFORMULA true for every cell</t>
  </si>
  <si>
    <t>Documentation</t>
  </si>
  <si>
    <t>Metadata</t>
  </si>
  <si>
    <t>Field</t>
  </si>
  <si>
    <t>Model</t>
  </si>
  <si>
    <t>Perfect Competition — Model Specification</t>
  </si>
  <si>
    <t>Capability</t>
  </si>
  <si>
    <t>marginal-analysis</t>
  </si>
  <si>
    <t>Engagement</t>
  </si>
  <si>
    <t>perfect-competition</t>
  </si>
  <si>
    <t>Specification</t>
  </si>
  <si>
    <t>Spec date</t>
  </si>
  <si>
    <t>2026-10-14</t>
  </si>
  <si>
    <t>Built by</t>
  </si>
  <si>
    <t>Version log</t>
  </si>
  <si>
    <t>Version</t>
  </si>
  <si>
    <t>Date</t>
  </si>
  <si>
    <t>Change</t>
  </si>
  <si>
    <t>Initial build from spec commit 65d3689. Decision cells saved at (10, 20, 30); Solver settings documented in the optimization block, not embedded; §7 outputs are alias names on the §4 cells; CHECK_NO_ERRORS_AND_FORMULAS tests error cells plus ISFORMULA on every calculated cell.</t>
  </si>
  <si>
    <t>Rebuilt from spec commit eeab256: Solver table retitled 'Solver Parameters' (§5); CHECK_NO_ERRORS_AND_FORMULAS set to the §6.7 formula; check-7 helper range names removed. §7 aliases per §4.23.</t>
  </si>
  <si>
    <t>Rebuilt from spec commit c27726e: CHECK_NO_ERRORS_AND_FORMULAS applies the §6.7 test to each calculated block (one CALCULATED_RANGES_* name per block, since the blocks are not one contiguous range). Scope: every calculated cell outside the checks block; bed-number index columns are typed values and excluded.</t>
  </si>
  <si>
    <t>Check Executed</t>
  </si>
  <si>
    <t>Target / Expectation</t>
  </si>
  <si>
    <t>Result Observed</t>
  </si>
  <si>
    <t>Pass / Fail</t>
  </si>
  <si>
    <t>Action Taken / Notes</t>
  </si>
  <si>
    <t>Hand calc (q=1 Tomato)</t>
  </si>
  <si>
    <t>99.0 hours</t>
  </si>
  <si>
    <t>Farm Profit Lab Cross-check</t>
  </si>
  <si>
    <t>Match intermediate MCs</t>
  </si>
  <si>
    <t>Dual Solver Start Points</t>
  </si>
  <si>
    <t>(0,0,0) vs (20,0,0) match</t>
  </si>
  <si>
    <t>Check Figures Reconciled</t>
  </si>
  <si>
    <t>10/20/30 beds, $42,762</t>
  </si>
  <si>
    <t>Formula Integrity Audit</t>
  </si>
  <si>
    <t>No hardcoded numbers in formulas</t>
  </si>
  <si>
    <t>capabilities/marginal-analysis/spec.md (commit c27726e, status: audited)</t>
  </si>
  <si>
    <t>AI-assisted build (Claude Code); audited by owner 2026-10-15</t>
  </si>
  <si>
    <t>Pass</t>
  </si>
  <si>
    <t>Catches a dropped exponent in the labor formula</t>
  </si>
  <si>
    <t>Lab: labor $104,118 / profit $42,762 / +1 tomato bed −$591. First build with rounded $34.72 and $17.36 gave $104,111.67 and $42,768.33</t>
  </si>
  <si>
    <t>Fail → Fixed</t>
  </si>
  <si>
    <t>Traced the $6.33 gap to the rounded wage rates; redefined both as =25000/720 and =25000/1440 in §2</t>
  </si>
  <si>
    <t>Both (0,0,0) and (20,0,0) converged to (10, 20, 30) with $42,762 profit</t>
  </si>
  <si>
    <t>Catches a local optimum presented as the global one</t>
  </si>
  <si>
    <t>10/20/30 beds, $42,762 net profit, standalone 10/10/6</t>
  </si>
  <si>
    <t>Catches an error anywhere in the chain, in aggregate</t>
  </si>
  <si>
    <t>Spot-checked 3 cells (marginal_cost Tomato Bed 6, BLENDED_LABOR_RATE, NET_SEASON_PROFIT); named ranges verified in formula bar, zero error cells, ISFORMULA TRUE</t>
  </si>
  <si>
    <t>Catches a value that is right today and wrong when an input changes</t>
  </si>
  <si>
    <t>Audit findings (spec §8)</t>
  </si>
  <si>
    <t>2026-10-19</t>
  </si>
  <si>
    <t>Documentation sheet updated to match the completed §8 audit; model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</si>
</sst>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000"/>
    <numFmt numFmtId="166" formatCode="&quot;$&quot;#,##0.00"/>
    <numFmt numFmtId="167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  <xf numFmtId="1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0" fontId="0" fillId="4" borderId="0" xfId="0" applyNumberFormat="1" applyFill="1"/>
    <xf numFmtId="3" fontId="0" fillId="4" borderId="0" xfId="0" applyNumberFormat="1" applyFill="1"/>
    <xf numFmtId="166" fontId="0" fillId="4" borderId="0" xfId="0" applyNumberFormat="1" applyFill="1"/>
    <xf numFmtId="4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5" borderId="0" xfId="0" applyNumberFormat="1" applyFill="1"/>
    <xf numFmtId="1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3" fillId="3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1"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FA2FED-40F4-6E4B-8362-A2E36E0CFF02}">
  <we:reference id="wa200009486" version="1.0.1.6" store="en-US" storeType="OMEX"/>
  <we:alternateReferences>
    <we:reference id="WA200009486" version="1.0.1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_xldudf_SOLVER_BASIN_HOPPING</we:customFunctionIds>
        <we:customFunctionIds>_xldudf_SOLVER_BRUTE</we:customFunctionIds>
        <we:customFunctionIds>_xldudf_SOLVER_CA_MINIMIZE</we:customFunctionIds>
        <we:customFunctionIds>_xldudf_SOLVER_CA_QUAD_PROG</we:customFunctionIds>
        <we:customFunctionIds>_xldudf_SOLVER_CA_ROOT</we:customFunctionIds>
        <we:customFunctionIds>_xldudf_SOLVER_DIFF_EVOLUTION</we:customFunctionIds>
        <we:customFunctionIds>_xldudf_SOLVER_DUAL_ANNEALING</we:customFunctionIds>
        <we:customFunctionIds>_xldudf_SOLVER_FIXED_POINT</we:customFunctionIds>
        <we:customFunctionIds>_xldudf_SOLVER_LINEAR_ASSIGNMENT</we:customFunctionIds>
        <we:customFunctionIds>_xldudf_SOLVER_LINEAR_PROG</we:customFunctionIds>
        <we:customFunctionIds>_xldudf_SOLVER_MILP</we:customFunctionIds>
        <we:customFunctionIds>_xldudf_SOLVER_MINIMIZE</we:customFunctionIds>
        <we:customFunctionIds>_xldudf_SOLVER_MINIMIZE_SCALAR</we:customFunctionIds>
        <we:customFunctionIds>_xldudf_SOLVER_QUAD_ASSIGN</we:customFunctionIds>
        <we:customFunctionIds>_xldudf_SOLVER_ROOT</we:customFunctionIds>
        <we:customFunctionIds>_xldudf_SOLVER_ROOT_SCALAR</we:customFunctionIds>
        <we:customFunctionIds>_xldudf_SOLVER_SHGO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14" customWidth="1"/>
    <col min="11" max="11" width="18" customWidth="1"/>
    <col min="12" max="12" width="20" customWidth="1"/>
    <col min="13" max="14" width="18" customWidth="1"/>
  </cols>
  <sheetData>
    <row r="1" spans="1:14" ht="19" x14ac:dyDescent="0.25">
      <c r="A1" s="1" t="s">
        <v>0</v>
      </c>
    </row>
    <row r="2" spans="1:14" x14ac:dyDescent="0.2">
      <c r="A2" t="s">
        <v>1</v>
      </c>
    </row>
    <row r="4" spans="1:14" ht="16" x14ac:dyDescent="0.2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32" x14ac:dyDescent="0.2">
      <c r="A5" s="4" t="s">
        <v>3</v>
      </c>
      <c r="B5" s="4" t="s">
        <v>4</v>
      </c>
      <c r="C5" s="4" t="s">
        <v>5</v>
      </c>
      <c r="D5" s="4" t="s">
        <v>6</v>
      </c>
    </row>
    <row r="6" spans="1:14" x14ac:dyDescent="0.2">
      <c r="A6" t="s">
        <v>7</v>
      </c>
      <c r="B6" s="5">
        <v>20</v>
      </c>
      <c r="C6" t="s">
        <v>8</v>
      </c>
      <c r="D6" t="s">
        <v>9</v>
      </c>
    </row>
    <row r="7" spans="1:14" x14ac:dyDescent="0.2">
      <c r="A7" t="s">
        <v>10</v>
      </c>
      <c r="B7" s="5">
        <v>20</v>
      </c>
      <c r="C7" t="s">
        <v>8</v>
      </c>
      <c r="D7" t="s">
        <v>9</v>
      </c>
    </row>
    <row r="8" spans="1:14" x14ac:dyDescent="0.2">
      <c r="A8" t="s">
        <v>11</v>
      </c>
      <c r="B8" s="5">
        <v>30</v>
      </c>
      <c r="C8" t="s">
        <v>8</v>
      </c>
      <c r="D8" t="s">
        <v>9</v>
      </c>
    </row>
    <row r="9" spans="1:14" x14ac:dyDescent="0.2">
      <c r="A9" t="s">
        <v>12</v>
      </c>
      <c r="B9" s="6">
        <v>8800</v>
      </c>
      <c r="C9" t="s">
        <v>13</v>
      </c>
      <c r="D9" t="s">
        <v>9</v>
      </c>
    </row>
    <row r="10" spans="1:14" x14ac:dyDescent="0.2">
      <c r="A10" t="s">
        <v>14</v>
      </c>
      <c r="B10" s="6">
        <v>2094</v>
      </c>
      <c r="C10" t="s">
        <v>13</v>
      </c>
      <c r="D10" t="s">
        <v>9</v>
      </c>
    </row>
    <row r="11" spans="1:14" x14ac:dyDescent="0.2">
      <c r="A11" t="s">
        <v>15</v>
      </c>
      <c r="B11" s="6">
        <v>2700</v>
      </c>
      <c r="C11" t="s">
        <v>13</v>
      </c>
      <c r="D11" t="s">
        <v>9</v>
      </c>
    </row>
    <row r="12" spans="1:14" x14ac:dyDescent="0.2">
      <c r="A12" t="s">
        <v>16</v>
      </c>
      <c r="B12" s="7">
        <v>2.5</v>
      </c>
      <c r="C12" t="s">
        <v>17</v>
      </c>
      <c r="D12" t="s">
        <v>9</v>
      </c>
    </row>
    <row r="13" spans="1:14" x14ac:dyDescent="0.2">
      <c r="A13" t="s">
        <v>18</v>
      </c>
      <c r="B13" s="7">
        <f>5/6</f>
        <v>0.83333333333333337</v>
      </c>
      <c r="C13" t="s">
        <v>17</v>
      </c>
      <c r="D13" t="s">
        <v>19</v>
      </c>
    </row>
    <row r="14" spans="1:14" x14ac:dyDescent="0.2">
      <c r="A14" t="s">
        <v>20</v>
      </c>
      <c r="B14" s="7">
        <v>1.25</v>
      </c>
      <c r="C14" t="s">
        <v>17</v>
      </c>
      <c r="D14" t="s">
        <v>9</v>
      </c>
    </row>
    <row r="15" spans="1:14" x14ac:dyDescent="0.2">
      <c r="A15" t="s">
        <v>21</v>
      </c>
      <c r="B15" s="6">
        <v>880</v>
      </c>
      <c r="C15" t="s">
        <v>13</v>
      </c>
      <c r="D15" t="s">
        <v>9</v>
      </c>
    </row>
    <row r="16" spans="1:14" x14ac:dyDescent="0.2">
      <c r="A16" t="s">
        <v>22</v>
      </c>
      <c r="B16" s="6">
        <v>440</v>
      </c>
      <c r="C16" t="s">
        <v>13</v>
      </c>
      <c r="D16" t="s">
        <v>9</v>
      </c>
    </row>
    <row r="17" spans="1:14" x14ac:dyDescent="0.2">
      <c r="A17" t="s">
        <v>23</v>
      </c>
      <c r="B17" s="6">
        <v>880</v>
      </c>
      <c r="C17" t="s">
        <v>13</v>
      </c>
      <c r="D17" t="s">
        <v>9</v>
      </c>
    </row>
    <row r="18" spans="1:14" x14ac:dyDescent="0.2">
      <c r="A18" t="s">
        <v>24</v>
      </c>
      <c r="B18" s="8">
        <v>0.1</v>
      </c>
      <c r="C18" t="s">
        <v>25</v>
      </c>
      <c r="D18" t="s">
        <v>9</v>
      </c>
    </row>
    <row r="19" spans="1:14" x14ac:dyDescent="0.2">
      <c r="A19" t="s">
        <v>26</v>
      </c>
      <c r="B19" s="8">
        <v>2.5000000000000001E-2</v>
      </c>
      <c r="C19" t="s">
        <v>27</v>
      </c>
      <c r="D19" t="s">
        <v>9</v>
      </c>
    </row>
    <row r="20" spans="1:14" x14ac:dyDescent="0.2">
      <c r="A20" t="s">
        <v>28</v>
      </c>
      <c r="B20" s="8">
        <v>1.2500000000000001E-2</v>
      </c>
      <c r="C20" t="s">
        <v>29</v>
      </c>
      <c r="D20" t="s">
        <v>9</v>
      </c>
    </row>
    <row r="21" spans="1:14" x14ac:dyDescent="0.2">
      <c r="A21" t="s">
        <v>30</v>
      </c>
      <c r="B21" s="5">
        <v>64</v>
      </c>
      <c r="C21" t="s">
        <v>8</v>
      </c>
      <c r="D21" t="s">
        <v>31</v>
      </c>
    </row>
    <row r="22" spans="1:14" x14ac:dyDescent="0.2">
      <c r="A22" t="s">
        <v>32</v>
      </c>
      <c r="B22" s="5">
        <v>36</v>
      </c>
      <c r="C22" t="s">
        <v>33</v>
      </c>
      <c r="D22" t="s">
        <v>31</v>
      </c>
    </row>
    <row r="23" spans="1:14" x14ac:dyDescent="0.2">
      <c r="A23" t="s">
        <v>34</v>
      </c>
      <c r="B23" s="6">
        <v>20000</v>
      </c>
      <c r="C23" t="s">
        <v>35</v>
      </c>
      <c r="D23" t="s">
        <v>31</v>
      </c>
    </row>
    <row r="24" spans="1:14" x14ac:dyDescent="0.2">
      <c r="A24" t="s">
        <v>36</v>
      </c>
      <c r="B24" s="9">
        <v>720</v>
      </c>
      <c r="C24" t="s">
        <v>37</v>
      </c>
      <c r="D24" t="s">
        <v>31</v>
      </c>
    </row>
    <row r="25" spans="1:14" x14ac:dyDescent="0.2">
      <c r="A25" t="s">
        <v>38</v>
      </c>
      <c r="B25" s="10">
        <f>25000/720</f>
        <v>34.722222222222221</v>
      </c>
      <c r="C25" t="s">
        <v>39</v>
      </c>
      <c r="D25" t="s">
        <v>40</v>
      </c>
    </row>
    <row r="26" spans="1:14" x14ac:dyDescent="0.2">
      <c r="A26" t="s">
        <v>41</v>
      </c>
      <c r="B26" s="5">
        <v>4</v>
      </c>
      <c r="C26" t="s">
        <v>42</v>
      </c>
      <c r="D26" t="s">
        <v>31</v>
      </c>
    </row>
    <row r="27" spans="1:14" x14ac:dyDescent="0.2">
      <c r="A27" t="s">
        <v>43</v>
      </c>
      <c r="B27" s="9">
        <v>1440</v>
      </c>
      <c r="C27" t="s">
        <v>44</v>
      </c>
      <c r="D27" t="s">
        <v>31</v>
      </c>
    </row>
    <row r="28" spans="1:14" x14ac:dyDescent="0.2">
      <c r="A28" t="s">
        <v>45</v>
      </c>
      <c r="B28" s="10">
        <f>25000/1440</f>
        <v>17.361111111111111</v>
      </c>
      <c r="C28" t="s">
        <v>39</v>
      </c>
      <c r="D28" t="s">
        <v>46</v>
      </c>
    </row>
    <row r="29" spans="1:14" x14ac:dyDescent="0.2">
      <c r="A29" t="s">
        <v>47</v>
      </c>
      <c r="B29" s="9">
        <v>6480</v>
      </c>
      <c r="C29" t="s">
        <v>48</v>
      </c>
      <c r="D29" t="s">
        <v>49</v>
      </c>
    </row>
    <row r="31" spans="1:14" ht="16" x14ac:dyDescent="0.2">
      <c r="A31" s="2" t="s">
        <v>50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6" x14ac:dyDescent="0.2">
      <c r="A32" s="4" t="s">
        <v>51</v>
      </c>
      <c r="B32" s="4" t="s">
        <v>4</v>
      </c>
      <c r="C32" s="4" t="s">
        <v>5</v>
      </c>
      <c r="D32" s="4" t="s">
        <v>52</v>
      </c>
    </row>
    <row r="33" spans="1:14" x14ac:dyDescent="0.2">
      <c r="A33" t="s">
        <v>53</v>
      </c>
      <c r="B33" s="11">
        <f>LABOR_HRS_TOMATOES+LABOR_HRS_CARROTS+LABOR_HRS_MESCLUN</f>
        <v>5277.2161142738878</v>
      </c>
      <c r="C33" t="s">
        <v>48</v>
      </c>
      <c r="D33" t="s">
        <v>54</v>
      </c>
    </row>
    <row r="34" spans="1:14" x14ac:dyDescent="0.2">
      <c r="A34" t="s">
        <v>55</v>
      </c>
      <c r="B34" s="11">
        <f>MIN(TOTAL_FARM_LABOR_HRS,OWNER_MAX_HRS)</f>
        <v>720</v>
      </c>
      <c r="C34" t="s">
        <v>48</v>
      </c>
      <c r="D34" t="s">
        <v>56</v>
      </c>
    </row>
    <row r="35" spans="1:14" x14ac:dyDescent="0.2">
      <c r="A35" t="s">
        <v>57</v>
      </c>
      <c r="B35" s="11">
        <f>MAX(0,TOTAL_FARM_LABOR_HRS-OWNER_MAX_HRS)</f>
        <v>4557.2161142738878</v>
      </c>
      <c r="C35" t="s">
        <v>48</v>
      </c>
      <c r="D35" t="s">
        <v>58</v>
      </c>
    </row>
    <row r="36" spans="1:14" x14ac:dyDescent="0.2">
      <c r="A36" t="s">
        <v>59</v>
      </c>
      <c r="B36" s="12">
        <f>(OWNER_HRS_USED*OWNER_HOURLY_RATE)+(TEMP_HRS_NEEDED*TEMP_HOURLY_RATE)</f>
        <v>104118.335317255</v>
      </c>
      <c r="C36" t="s">
        <v>60</v>
      </c>
      <c r="D36" t="s">
        <v>61</v>
      </c>
    </row>
    <row r="37" spans="1:14" x14ac:dyDescent="0.2">
      <c r="A37" t="s">
        <v>62</v>
      </c>
      <c r="B37" s="13">
        <f>IF(TOTAL_FARM_LABOR_HRS&gt;0,TOTAL_LABOR_COST/TOTAL_FARM_LABOR_HRS,OWNER_HOURLY_RATE)</f>
        <v>19.729784239010844</v>
      </c>
      <c r="C37" t="s">
        <v>39</v>
      </c>
      <c r="D37" t="s">
        <v>63</v>
      </c>
    </row>
    <row r="38" spans="1:14" x14ac:dyDescent="0.2">
      <c r="A38" t="s">
        <v>64</v>
      </c>
      <c r="B38" s="14">
        <f>TEMP_HRS_NEEDED/TEMP_WORKER_MAX_HRS</f>
        <v>3.1647334126901998</v>
      </c>
      <c r="C38" t="s">
        <v>65</v>
      </c>
      <c r="D38" t="s">
        <v>66</v>
      </c>
    </row>
    <row r="40" spans="1:14" ht="16" x14ac:dyDescent="0.2">
      <c r="A40" s="2" t="s">
        <v>67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32" x14ac:dyDescent="0.2">
      <c r="A41" s="4" t="s">
        <v>68</v>
      </c>
      <c r="B41" s="4" t="s">
        <v>69</v>
      </c>
      <c r="C41" s="4" t="s">
        <v>70</v>
      </c>
      <c r="D41" s="4" t="s">
        <v>71</v>
      </c>
      <c r="E41" s="4" t="s">
        <v>72</v>
      </c>
      <c r="F41" s="4" t="s">
        <v>73</v>
      </c>
      <c r="G41" s="4" t="s">
        <v>74</v>
      </c>
      <c r="H41" s="4" t="s">
        <v>75</v>
      </c>
    </row>
    <row r="42" spans="1:14" x14ac:dyDescent="0.2">
      <c r="A42" t="s">
        <v>76</v>
      </c>
      <c r="B42" s="15">
        <v>10</v>
      </c>
      <c r="C42" s="11">
        <f>BEDS_TOMATOES*BASE_HRS_TOMATOES*SEASON_WEEKS*(1+DIM_RATE_TOMATOES)^BEDS_TOMATOES</f>
        <v>2334.3682140900019</v>
      </c>
      <c r="D42" s="12">
        <f>BEDS_TOMATOES*REV_PER_BED_TOMATOES</f>
        <v>88000</v>
      </c>
      <c r="E42" s="12">
        <f>BEDS_TOMATOES*FERT_PER_BED_TOMATOES</f>
        <v>8800</v>
      </c>
      <c r="F42" s="12">
        <f>LABOR_HRS_TOMATOES*BLENDED_LABOR_RATE</f>
        <v>46056.581198400811</v>
      </c>
      <c r="G42" s="12">
        <f>FERT_COST_TOMATOES+CROP_LABOR_COST_TOMATOES</f>
        <v>54856.581198400811</v>
      </c>
      <c r="H42" s="12">
        <f>CROP_REVENUE_TOMATOES-CROP_TVC_TOMATOES</f>
        <v>33143.418801599189</v>
      </c>
    </row>
    <row r="43" spans="1:14" x14ac:dyDescent="0.2">
      <c r="A43" t="s">
        <v>77</v>
      </c>
      <c r="B43" s="15">
        <v>20</v>
      </c>
      <c r="C43" s="11">
        <f>BEDS_CARROTS*BASE_HRS_CARROTS*SEASON_WEEKS*(1+DIM_RATE_CARROTS)^BEDS_CARROTS</f>
        <v>983.16986417423732</v>
      </c>
      <c r="D43" s="12">
        <f>BEDS_CARROTS*REV_PER_BED_CARROTS</f>
        <v>41880</v>
      </c>
      <c r="E43" s="12">
        <f>BEDS_CARROTS*FERT_PER_BED_CARROTS</f>
        <v>8800</v>
      </c>
      <c r="F43" s="12">
        <f>LABOR_HRS_CARROTS*BLENDED_LABOR_RATE</f>
        <v>19397.7292904553</v>
      </c>
      <c r="G43" s="12">
        <f>FERT_COST_CARROTS+CROP_LABOR_COST_CARROTS</f>
        <v>28197.7292904553</v>
      </c>
      <c r="H43" s="12">
        <f>CROP_REVENUE_CARROTS-CROP_TVC_CARROTS</f>
        <v>13682.2707095447</v>
      </c>
    </row>
    <row r="44" spans="1:14" x14ac:dyDescent="0.2">
      <c r="A44" t="s">
        <v>78</v>
      </c>
      <c r="B44" s="15">
        <v>30</v>
      </c>
      <c r="C44" s="11">
        <f>BEDS_MESCLUN*BASE_HRS_MESCLUN*SEASON_WEEKS*(1+DIM_RATE_MESCLUN)^BEDS_MESCLUN</f>
        <v>1959.6780360096488</v>
      </c>
      <c r="D44" s="12">
        <f>BEDS_MESCLUN*REV_PER_BED_MESCLUN</f>
        <v>81000</v>
      </c>
      <c r="E44" s="12">
        <f>BEDS_MESCLUN*FERT_PER_BED_MESCLUN</f>
        <v>26400</v>
      </c>
      <c r="F44" s="12">
        <f>LABOR_HRS_MESCLUN*BLENDED_LABOR_RATE</f>
        <v>38664.024828398891</v>
      </c>
      <c r="G44" s="12">
        <f>FERT_COST_MESCLUN+CROP_LABOR_COST_MESCLUN</f>
        <v>65064.024828398891</v>
      </c>
      <c r="H44" s="12">
        <f>CROP_REVENUE_MESCLUN-CROP_TVC_MESCLUN</f>
        <v>15935.975171601109</v>
      </c>
    </row>
    <row r="46" spans="1:14" ht="16" x14ac:dyDescent="0.2">
      <c r="A46" s="4" t="s">
        <v>79</v>
      </c>
      <c r="B46" s="4" t="s">
        <v>4</v>
      </c>
      <c r="C46" s="4" t="s">
        <v>5</v>
      </c>
      <c r="D46" s="4" t="s">
        <v>52</v>
      </c>
    </row>
    <row r="47" spans="1:14" x14ac:dyDescent="0.2">
      <c r="A47" t="s">
        <v>80</v>
      </c>
      <c r="B47" s="16">
        <f>BEDS_TOMATOES+BEDS_CARROTS+BEDS_MESCLUN</f>
        <v>60</v>
      </c>
      <c r="C47" t="s">
        <v>8</v>
      </c>
      <c r="D47" t="s">
        <v>81</v>
      </c>
    </row>
    <row r="48" spans="1:14" x14ac:dyDescent="0.2">
      <c r="A48" t="s">
        <v>82</v>
      </c>
      <c r="B48" s="12">
        <f>CROP_REVENUE_TOMATOES+CROP_REVENUE_CARROTS+CROP_REVENUE_MESCLUN</f>
        <v>210880</v>
      </c>
      <c r="C48" t="s">
        <v>60</v>
      </c>
      <c r="D48" t="s">
        <v>83</v>
      </c>
    </row>
    <row r="49" spans="1:4" x14ac:dyDescent="0.2">
      <c r="A49" t="s">
        <v>84</v>
      </c>
      <c r="B49" s="12">
        <f>FERT_COST_TOMATOES+FERT_COST_CARROTS+FERT_COST_MESCLUN</f>
        <v>44000</v>
      </c>
      <c r="C49" t="s">
        <v>60</v>
      </c>
      <c r="D49" t="s">
        <v>85</v>
      </c>
    </row>
    <row r="50" spans="1:4" x14ac:dyDescent="0.2">
      <c r="A50" t="s">
        <v>86</v>
      </c>
      <c r="B50" s="12">
        <f>CROP_TVC_TOMATOES+CROP_TVC_CARROTS+CROP_TVC_MESCLUN</f>
        <v>148118.335317255</v>
      </c>
      <c r="C50" t="s">
        <v>60</v>
      </c>
      <c r="D50" t="s">
        <v>87</v>
      </c>
    </row>
    <row r="51" spans="1:4" x14ac:dyDescent="0.2">
      <c r="A51" s="17" t="s">
        <v>88</v>
      </c>
      <c r="B51" s="18">
        <f>TOTAL_FARM_REVENUE-TOTAL_FARM_TVC-FIXED_COSTS</f>
        <v>42761.664682745002</v>
      </c>
      <c r="C51" t="s">
        <v>60</v>
      </c>
      <c r="D51" t="s">
        <v>89</v>
      </c>
    </row>
    <row r="53" spans="1:4" ht="32" x14ac:dyDescent="0.2">
      <c r="A53" s="4" t="s">
        <v>90</v>
      </c>
      <c r="B53" s="4" t="s">
        <v>91</v>
      </c>
      <c r="C53" s="4"/>
      <c r="D53" s="4" t="s">
        <v>92</v>
      </c>
    </row>
    <row r="54" spans="1:4" x14ac:dyDescent="0.2">
      <c r="A54" t="s">
        <v>93</v>
      </c>
      <c r="B54" t="b">
        <f>BEDS_TOMATOES&lt;=BED_CAP_TOMATOES</f>
        <v>1</v>
      </c>
      <c r="D54" t="s">
        <v>94</v>
      </c>
    </row>
    <row r="55" spans="1:4" x14ac:dyDescent="0.2">
      <c r="A55" t="s">
        <v>95</v>
      </c>
      <c r="B55" t="b">
        <f>BEDS_CARROTS&lt;=BED_CAP_CARROTS</f>
        <v>1</v>
      </c>
      <c r="D55" t="s">
        <v>96</v>
      </c>
    </row>
    <row r="56" spans="1:4" x14ac:dyDescent="0.2">
      <c r="A56" t="s">
        <v>97</v>
      </c>
      <c r="B56" t="b">
        <f>BEDS_MESCLUN&lt;=BED_CAP_MESCLUN</f>
        <v>1</v>
      </c>
      <c r="D56" t="s">
        <v>98</v>
      </c>
    </row>
    <row r="57" spans="1:4" x14ac:dyDescent="0.2">
      <c r="A57" t="s">
        <v>99</v>
      </c>
      <c r="B57" t="b">
        <f>TOTAL_BEDS_PLANTED&lt;=FARM_BEDS_AVAIL</f>
        <v>1</v>
      </c>
      <c r="D57" t="s">
        <v>100</v>
      </c>
    </row>
    <row r="58" spans="1:4" x14ac:dyDescent="0.2">
      <c r="A58" t="s">
        <v>101</v>
      </c>
      <c r="B58" t="b">
        <f>TOTAL_FARM_LABOR_HRS&lt;=TOTAL_LABOR_CAP</f>
        <v>1</v>
      </c>
      <c r="D58" t="s">
        <v>102</v>
      </c>
    </row>
    <row r="59" spans="1:4" x14ac:dyDescent="0.2">
      <c r="A59" t="s">
        <v>103</v>
      </c>
      <c r="B59" t="b">
        <f>AND(BEDS_TOMATOES=INT(BEDS_TOMATOES),BEDS_CARROTS=INT(BEDS_CARROTS),BEDS_MESCLUN=INT(BEDS_MESCLUN),BEDS_TOMATOES&gt;=0,BEDS_CARROTS&gt;=0,BEDS_MESCLUN&gt;=0)</f>
        <v>1</v>
      </c>
      <c r="D59" t="s">
        <v>104</v>
      </c>
    </row>
    <row r="61" spans="1:4" ht="16" x14ac:dyDescent="0.2">
      <c r="A61" s="4" t="s">
        <v>105</v>
      </c>
      <c r="B61" s="4" t="s">
        <v>106</v>
      </c>
    </row>
    <row r="62" spans="1:4" x14ac:dyDescent="0.2">
      <c r="A62" t="s">
        <v>107</v>
      </c>
      <c r="B62" t="s">
        <v>108</v>
      </c>
    </row>
    <row r="63" spans="1:4" x14ac:dyDescent="0.2">
      <c r="A63" t="s">
        <v>109</v>
      </c>
      <c r="B63" t="s">
        <v>110</v>
      </c>
    </row>
    <row r="64" spans="1:4" x14ac:dyDescent="0.2">
      <c r="A64" t="s">
        <v>111</v>
      </c>
      <c r="B64" t="s">
        <v>112</v>
      </c>
    </row>
    <row r="65" spans="1:14" x14ac:dyDescent="0.2">
      <c r="A65" t="s">
        <v>113</v>
      </c>
      <c r="B65" t="s">
        <v>114</v>
      </c>
    </row>
    <row r="66" spans="1:14" x14ac:dyDescent="0.2">
      <c r="A66" t="s">
        <v>115</v>
      </c>
      <c r="B66" t="s">
        <v>116</v>
      </c>
    </row>
    <row r="67" spans="1:14" x14ac:dyDescent="0.2">
      <c r="A67" t="s">
        <v>117</v>
      </c>
      <c r="B67" t="s">
        <v>118</v>
      </c>
    </row>
    <row r="68" spans="1:14" x14ac:dyDescent="0.2">
      <c r="A68" t="s">
        <v>119</v>
      </c>
      <c r="B68" t="s">
        <v>120</v>
      </c>
    </row>
    <row r="69" spans="1:14" x14ac:dyDescent="0.2">
      <c r="A69" t="s">
        <v>121</v>
      </c>
      <c r="B69" t="s">
        <v>122</v>
      </c>
    </row>
    <row r="70" spans="1:14" x14ac:dyDescent="0.2">
      <c r="A70" t="s">
        <v>123</v>
      </c>
      <c r="B70" t="s">
        <v>124</v>
      </c>
    </row>
    <row r="71" spans="1:14" x14ac:dyDescent="0.2">
      <c r="A71" t="s">
        <v>125</v>
      </c>
      <c r="B71" t="s">
        <v>126</v>
      </c>
    </row>
    <row r="72" spans="1:14" x14ac:dyDescent="0.2">
      <c r="A72" t="s">
        <v>127</v>
      </c>
      <c r="B72" t="s">
        <v>128</v>
      </c>
    </row>
    <row r="74" spans="1:14" ht="16" x14ac:dyDescent="0.2">
      <c r="A74" s="2" t="s">
        <v>129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32" x14ac:dyDescent="0.2">
      <c r="A75" s="4" t="s">
        <v>130</v>
      </c>
      <c r="B75" s="4" t="s">
        <v>131</v>
      </c>
      <c r="C75" s="4"/>
      <c r="D75" s="4" t="s">
        <v>132</v>
      </c>
    </row>
    <row r="76" spans="1:14" x14ac:dyDescent="0.2">
      <c r="A76" t="s">
        <v>133</v>
      </c>
      <c r="B76" s="16">
        <f>MIN(IFERROR(MATCH(TRUE,INDEX(SCHED_SA_MARGINAL_COST_TOMATOES&gt;REV_PER_BED_TOMATOES,0),0)-1,BED_CAP_TOMATOES),BED_CAP_TOMATOES)</f>
        <v>10</v>
      </c>
      <c r="D76" t="s">
        <v>134</v>
      </c>
    </row>
    <row r="77" spans="1:14" x14ac:dyDescent="0.2">
      <c r="A77" t="s">
        <v>135</v>
      </c>
      <c r="B77" s="16">
        <f>MIN(IFERROR(MATCH(TRUE,INDEX(SCHED_SA_MARGINAL_COST_CARROTS&gt;REV_PER_BED_CARROTS,0),0)-1,BED_CAP_CARROTS),BED_CAP_CARROTS)</f>
        <v>10</v>
      </c>
      <c r="D77" t="s">
        <v>136</v>
      </c>
    </row>
    <row r="78" spans="1:14" x14ac:dyDescent="0.2">
      <c r="A78" t="s">
        <v>137</v>
      </c>
      <c r="B78" s="16">
        <f>MIN(IFERROR(MATCH(TRUE,INDEX(SCHED_SA_MARGINAL_COST_MESCLUN&gt;REV_PER_BED_MESCLUN,0),0)-1,BED_CAP_MESCLUN),BED_CAP_MESCLUN)</f>
        <v>6</v>
      </c>
      <c r="D78" t="s">
        <v>138</v>
      </c>
    </row>
    <row r="80" spans="1:14" x14ac:dyDescent="0.2">
      <c r="A80" s="17" t="s">
        <v>139</v>
      </c>
      <c r="D80" t="s">
        <v>140</v>
      </c>
    </row>
    <row r="81" spans="1:14" ht="48" x14ac:dyDescent="0.2">
      <c r="A81" s="4" t="s">
        <v>141</v>
      </c>
      <c r="B81" s="4" t="s">
        <v>142</v>
      </c>
      <c r="C81" s="4" t="s">
        <v>143</v>
      </c>
      <c r="D81" s="4" t="s">
        <v>144</v>
      </c>
      <c r="E81" s="4" t="s">
        <v>145</v>
      </c>
      <c r="F81" s="4" t="s">
        <v>146</v>
      </c>
      <c r="G81" s="4" t="s">
        <v>147</v>
      </c>
      <c r="H81" s="4" t="s">
        <v>148</v>
      </c>
      <c r="I81" s="4" t="s">
        <v>149</v>
      </c>
      <c r="J81" s="4" t="s">
        <v>150</v>
      </c>
      <c r="K81" s="4" t="s">
        <v>151</v>
      </c>
      <c r="L81" s="4" t="s">
        <v>152</v>
      </c>
      <c r="M81" s="4" t="s">
        <v>153</v>
      </c>
      <c r="N81" s="4" t="s">
        <v>154</v>
      </c>
    </row>
    <row r="82" spans="1:14" x14ac:dyDescent="0.2">
      <c r="A82" s="16">
        <v>1</v>
      </c>
      <c r="B82" s="11">
        <f t="shared" ref="B82:B101" si="0">SCHED_Q_TOMATOES*BASE_HRS_TOMATOES*SEASON_WEEKS*(1+DIM_RATE_TOMATOES)^SCHED_Q_TOMATOES</f>
        <v>99.000000000000014</v>
      </c>
      <c r="C82" s="11">
        <f t="shared" ref="C82:C101" si="1">(SCHED_Q_TOMATOES-1)*BASE_HRS_TOMATOES*SEASON_WEEKS*(1+DIM_RATE_TOMATOES)^(SCHED_Q_TOMATOES-1)</f>
        <v>0</v>
      </c>
      <c r="D82" s="11">
        <f t="shared" ref="D82:D101" si="2">SCHED_LABOR_HRS_TOMATOES-SCHED_LABOR_HRS_PREV_TOMATOES</f>
        <v>99.000000000000014</v>
      </c>
      <c r="E82" s="12">
        <f t="shared" ref="E82:E101" si="3">SCHED_Q_TOMATOES*REV_PER_BED_TOMATOES</f>
        <v>8800</v>
      </c>
      <c r="F82" s="12">
        <f t="shared" ref="F82:F101" si="4">SCHED_Q_TOMATOES*FERT_PER_BED_TOMATOES</f>
        <v>880</v>
      </c>
      <c r="G82" s="12">
        <f t="shared" ref="G82:G101" si="5">SCHED_LABOR_HRS_TOMATOES*BLENDED_LABOR_RATE</f>
        <v>1953.2486396620739</v>
      </c>
      <c r="H82" s="12">
        <f t="shared" ref="H82:H101" si="6">SCHED_FERT_COST_TOMATOES+SCHED_CROP_LABOR_COST_TOMATOES</f>
        <v>2833.2486396620739</v>
      </c>
      <c r="I82" s="12">
        <f t="shared" ref="I82:I101" si="7">FERT_PER_BED_TOMATOES+(SCHED_MARGINAL_LABOR_HRS_TOMATOES*BLENDED_LABOR_RATE)</f>
        <v>2833.2486396620739</v>
      </c>
      <c r="J82" s="12">
        <f t="shared" ref="J82:J101" si="8">REV_PER_BED_TOMATOES</f>
        <v>8800</v>
      </c>
      <c r="K82" s="12">
        <f t="shared" ref="K82:K101" si="9">SCHED_CROP_REVENUE_TOMATOES-SCHED_CROP_TVC_TOMATOES</f>
        <v>5966.7513603379266</v>
      </c>
      <c r="L82" s="12">
        <f t="shared" ref="L82:L101" si="10">IF(SCHED_LABOR_HRS_TOMATOES&lt;=OWNER_MAX_HRS,SCHED_LABOR_HRS_TOMATOES*OWNER_HOURLY_RATE,OWNER_MAX_HRS*OWNER_HOURLY_RATE+(SCHED_LABOR_HRS_TOMATOES-OWNER_MAX_HRS)*TEMP_HOURLY_RATE)</f>
        <v>3437.5000000000005</v>
      </c>
      <c r="M82" s="12">
        <f t="shared" ref="M82:M101" si="11">IF(SCHED_LABOR_HRS_PREV_TOMATOES&lt;=OWNER_MAX_HRS,SCHED_LABOR_HRS_PREV_TOMATOES*OWNER_HOURLY_RATE,OWNER_MAX_HRS*OWNER_HOURLY_RATE+(SCHED_LABOR_HRS_PREV_TOMATOES-OWNER_MAX_HRS)*TEMP_HOURLY_RATE)</f>
        <v>0</v>
      </c>
      <c r="N82" s="12">
        <f t="shared" ref="N82:N101" si="12">FERT_PER_BED_TOMATOES+SCHED_SA_LABOR_COST_TOMATOES-SCHED_SA_LABOR_COST_PREV_TOMATOES</f>
        <v>4317.5</v>
      </c>
    </row>
    <row r="83" spans="1:14" x14ac:dyDescent="0.2">
      <c r="A83" s="16">
        <v>2</v>
      </c>
      <c r="B83" s="11">
        <f t="shared" si="0"/>
        <v>217.80000000000004</v>
      </c>
      <c r="C83" s="11">
        <f t="shared" si="1"/>
        <v>99.000000000000014</v>
      </c>
      <c r="D83" s="11">
        <f t="shared" si="2"/>
        <v>118.80000000000003</v>
      </c>
      <c r="E83" s="12">
        <f t="shared" si="3"/>
        <v>17600</v>
      </c>
      <c r="F83" s="12">
        <f t="shared" si="4"/>
        <v>1760</v>
      </c>
      <c r="G83" s="12">
        <f t="shared" si="5"/>
        <v>4297.1470072565626</v>
      </c>
      <c r="H83" s="12">
        <f t="shared" si="6"/>
        <v>6057.1470072565626</v>
      </c>
      <c r="I83" s="12">
        <f t="shared" si="7"/>
        <v>3223.8983675944887</v>
      </c>
      <c r="J83" s="12">
        <f t="shared" si="8"/>
        <v>8800</v>
      </c>
      <c r="K83" s="12">
        <f t="shared" si="9"/>
        <v>11542.852992743437</v>
      </c>
      <c r="L83" s="12">
        <f t="shared" si="10"/>
        <v>7562.5000000000009</v>
      </c>
      <c r="M83" s="12">
        <f t="shared" si="11"/>
        <v>3437.5000000000005</v>
      </c>
      <c r="N83" s="12">
        <f t="shared" si="12"/>
        <v>5005</v>
      </c>
    </row>
    <row r="84" spans="1:14" x14ac:dyDescent="0.2">
      <c r="A84" s="16">
        <v>3</v>
      </c>
      <c r="B84" s="11">
        <f t="shared" si="0"/>
        <v>359.37000000000012</v>
      </c>
      <c r="C84" s="11">
        <f t="shared" si="1"/>
        <v>217.80000000000004</v>
      </c>
      <c r="D84" s="11">
        <f t="shared" si="2"/>
        <v>141.57000000000008</v>
      </c>
      <c r="E84" s="12">
        <f t="shared" si="3"/>
        <v>26400</v>
      </c>
      <c r="F84" s="12">
        <f t="shared" si="4"/>
        <v>2640</v>
      </c>
      <c r="G84" s="12">
        <f t="shared" si="5"/>
        <v>7090.2925619733296</v>
      </c>
      <c r="H84" s="12">
        <f t="shared" si="6"/>
        <v>9730.2925619733287</v>
      </c>
      <c r="I84" s="12">
        <f t="shared" si="7"/>
        <v>3673.1455547167666</v>
      </c>
      <c r="J84" s="12">
        <f t="shared" si="8"/>
        <v>8800</v>
      </c>
      <c r="K84" s="12">
        <f t="shared" si="9"/>
        <v>16669.707438026671</v>
      </c>
      <c r="L84" s="12">
        <f t="shared" si="10"/>
        <v>12478.125000000004</v>
      </c>
      <c r="M84" s="12">
        <f t="shared" si="11"/>
        <v>7562.5000000000009</v>
      </c>
      <c r="N84" s="12">
        <f t="shared" si="12"/>
        <v>5795.6250000000027</v>
      </c>
    </row>
    <row r="85" spans="1:14" x14ac:dyDescent="0.2">
      <c r="A85" s="16">
        <v>4</v>
      </c>
      <c r="B85" s="11">
        <f t="shared" si="0"/>
        <v>527.07600000000014</v>
      </c>
      <c r="C85" s="11">
        <f t="shared" si="1"/>
        <v>359.37000000000012</v>
      </c>
      <c r="D85" s="11">
        <f t="shared" si="2"/>
        <v>167.70600000000002</v>
      </c>
      <c r="E85" s="12">
        <f t="shared" si="3"/>
        <v>35200</v>
      </c>
      <c r="F85" s="12">
        <f t="shared" si="4"/>
        <v>3520</v>
      </c>
      <c r="G85" s="12">
        <f t="shared" si="5"/>
        <v>10399.095757560883</v>
      </c>
      <c r="H85" s="12">
        <f t="shared" si="6"/>
        <v>13919.095757560883</v>
      </c>
      <c r="I85" s="12">
        <f t="shared" si="7"/>
        <v>4188.8031955875531</v>
      </c>
      <c r="J85" s="12">
        <f t="shared" si="8"/>
        <v>8800</v>
      </c>
      <c r="K85" s="12">
        <f t="shared" si="9"/>
        <v>21280.904242439115</v>
      </c>
      <c r="L85" s="12">
        <f t="shared" si="10"/>
        <v>18301.250000000004</v>
      </c>
      <c r="M85" s="12">
        <f t="shared" si="11"/>
        <v>12478.125000000004</v>
      </c>
      <c r="N85" s="12">
        <f t="shared" si="12"/>
        <v>6703.125</v>
      </c>
    </row>
    <row r="86" spans="1:14" x14ac:dyDescent="0.2">
      <c r="A86" s="16">
        <v>5</v>
      </c>
      <c r="B86" s="11">
        <f t="shared" si="0"/>
        <v>724.72950000000026</v>
      </c>
      <c r="C86" s="11">
        <f t="shared" si="1"/>
        <v>527.07600000000014</v>
      </c>
      <c r="D86" s="11">
        <f t="shared" si="2"/>
        <v>197.65350000000012</v>
      </c>
      <c r="E86" s="12">
        <f t="shared" si="3"/>
        <v>44000</v>
      </c>
      <c r="F86" s="12">
        <f t="shared" si="4"/>
        <v>4400</v>
      </c>
      <c r="G86" s="12">
        <f t="shared" si="5"/>
        <v>14298.756666646213</v>
      </c>
      <c r="H86" s="12">
        <f t="shared" si="6"/>
        <v>18698.756666646215</v>
      </c>
      <c r="I86" s="12">
        <f t="shared" si="7"/>
        <v>4779.6609090853326</v>
      </c>
      <c r="J86" s="12">
        <f t="shared" si="8"/>
        <v>8800</v>
      </c>
      <c r="K86" s="12">
        <f t="shared" si="9"/>
        <v>25301.243333353785</v>
      </c>
      <c r="L86" s="12">
        <f t="shared" si="10"/>
        <v>25082.109375000004</v>
      </c>
      <c r="M86" s="12">
        <f t="shared" si="11"/>
        <v>18301.250000000004</v>
      </c>
      <c r="N86" s="12">
        <f t="shared" si="12"/>
        <v>7660.859375</v>
      </c>
    </row>
    <row r="87" spans="1:14" x14ac:dyDescent="0.2">
      <c r="A87" s="16">
        <v>6</v>
      </c>
      <c r="B87" s="11">
        <f t="shared" si="0"/>
        <v>956.64294000000041</v>
      </c>
      <c r="C87" s="11">
        <f t="shared" si="1"/>
        <v>724.72950000000026</v>
      </c>
      <c r="D87" s="11">
        <f t="shared" si="2"/>
        <v>231.91344000000015</v>
      </c>
      <c r="E87" s="12">
        <f t="shared" si="3"/>
        <v>52800</v>
      </c>
      <c r="F87" s="12">
        <f t="shared" si="4"/>
        <v>5280</v>
      </c>
      <c r="G87" s="12">
        <f t="shared" si="5"/>
        <v>18874.358799973004</v>
      </c>
      <c r="H87" s="12">
        <f t="shared" si="6"/>
        <v>24154.358799973004</v>
      </c>
      <c r="I87" s="12">
        <f t="shared" si="7"/>
        <v>5455.60213332679</v>
      </c>
      <c r="J87" s="12">
        <f t="shared" si="8"/>
        <v>8800</v>
      </c>
      <c r="K87" s="12">
        <f t="shared" si="9"/>
        <v>28645.641200026996</v>
      </c>
      <c r="L87" s="12">
        <f t="shared" si="10"/>
        <v>29108.384375000009</v>
      </c>
      <c r="M87" s="12">
        <f t="shared" si="11"/>
        <v>25082.109375000004</v>
      </c>
      <c r="N87" s="12">
        <f t="shared" si="12"/>
        <v>4906.2750000000051</v>
      </c>
    </row>
    <row r="88" spans="1:14" x14ac:dyDescent="0.2">
      <c r="A88" s="16">
        <v>7</v>
      </c>
      <c r="B88" s="11">
        <f t="shared" si="0"/>
        <v>1227.6917730000007</v>
      </c>
      <c r="C88" s="11">
        <f t="shared" si="1"/>
        <v>956.64294000000041</v>
      </c>
      <c r="D88" s="11">
        <f t="shared" si="2"/>
        <v>271.04883300000029</v>
      </c>
      <c r="E88" s="12">
        <f t="shared" si="3"/>
        <v>61600</v>
      </c>
      <c r="F88" s="12">
        <f t="shared" si="4"/>
        <v>6160</v>
      </c>
      <c r="G88" s="12">
        <f t="shared" si="5"/>
        <v>24222.093793298693</v>
      </c>
      <c r="H88" s="12">
        <f t="shared" si="6"/>
        <v>30382.093793298693</v>
      </c>
      <c r="I88" s="12">
        <f t="shared" si="7"/>
        <v>6227.7349933256883</v>
      </c>
      <c r="J88" s="12">
        <f t="shared" si="8"/>
        <v>8800</v>
      </c>
      <c r="K88" s="12">
        <f t="shared" si="9"/>
        <v>31217.906206701307</v>
      </c>
      <c r="L88" s="12">
        <f t="shared" si="10"/>
        <v>33814.09328125001</v>
      </c>
      <c r="M88" s="12">
        <f t="shared" si="11"/>
        <v>29108.384375000009</v>
      </c>
      <c r="N88" s="12">
        <f t="shared" si="12"/>
        <v>5585.7089062500017</v>
      </c>
    </row>
    <row r="89" spans="1:14" x14ac:dyDescent="0.2">
      <c r="A89" s="16">
        <v>8</v>
      </c>
      <c r="B89" s="11">
        <f t="shared" si="0"/>
        <v>1543.3839432000009</v>
      </c>
      <c r="C89" s="11">
        <f t="shared" si="1"/>
        <v>1227.6917730000007</v>
      </c>
      <c r="D89" s="11">
        <f t="shared" si="2"/>
        <v>315.69217020000019</v>
      </c>
      <c r="E89" s="12">
        <f t="shared" si="3"/>
        <v>70400</v>
      </c>
      <c r="F89" s="12">
        <f t="shared" si="4"/>
        <v>7040</v>
      </c>
      <c r="G89" s="12">
        <f t="shared" si="5"/>
        <v>30450.632197289786</v>
      </c>
      <c r="H89" s="12">
        <f t="shared" si="6"/>
        <v>37490.632197289786</v>
      </c>
      <c r="I89" s="12">
        <f t="shared" si="7"/>
        <v>7108.5384039910923</v>
      </c>
      <c r="J89" s="12">
        <f t="shared" si="8"/>
        <v>8800</v>
      </c>
      <c r="K89" s="12">
        <f t="shared" si="9"/>
        <v>32909.367802710214</v>
      </c>
      <c r="L89" s="12">
        <f t="shared" si="10"/>
        <v>39294.860125000014</v>
      </c>
      <c r="M89" s="12">
        <f t="shared" si="11"/>
        <v>33814.09328125001</v>
      </c>
      <c r="N89" s="12">
        <f t="shared" si="12"/>
        <v>6360.7668437500033</v>
      </c>
    </row>
    <row r="90" spans="1:14" x14ac:dyDescent="0.2">
      <c r="A90" s="16">
        <v>9</v>
      </c>
      <c r="B90" s="11">
        <f t="shared" si="0"/>
        <v>1909.9376297100011</v>
      </c>
      <c r="C90" s="11">
        <f t="shared" si="1"/>
        <v>1543.3839432000009</v>
      </c>
      <c r="D90" s="11">
        <f t="shared" si="2"/>
        <v>366.55368651000026</v>
      </c>
      <c r="E90" s="12">
        <f t="shared" si="3"/>
        <v>79200</v>
      </c>
      <c r="F90" s="12">
        <f t="shared" si="4"/>
        <v>7920</v>
      </c>
      <c r="G90" s="12">
        <f t="shared" si="5"/>
        <v>37682.657344146108</v>
      </c>
      <c r="H90" s="12">
        <f t="shared" si="6"/>
        <v>45602.657344146108</v>
      </c>
      <c r="I90" s="12">
        <f t="shared" si="7"/>
        <v>8112.0251468563247</v>
      </c>
      <c r="J90" s="12">
        <f t="shared" si="8"/>
        <v>8800</v>
      </c>
      <c r="K90" s="12">
        <f t="shared" si="9"/>
        <v>33597.342655853892</v>
      </c>
      <c r="L90" s="12">
        <f t="shared" si="10"/>
        <v>45658.639404687521</v>
      </c>
      <c r="M90" s="12">
        <f t="shared" si="11"/>
        <v>39294.860125000014</v>
      </c>
      <c r="N90" s="12">
        <f t="shared" si="12"/>
        <v>7243.7792796875074</v>
      </c>
    </row>
    <row r="91" spans="1:14" x14ac:dyDescent="0.2">
      <c r="A91" s="16">
        <v>10</v>
      </c>
      <c r="B91" s="11">
        <f t="shared" si="0"/>
        <v>2334.3682140900019</v>
      </c>
      <c r="C91" s="11">
        <f t="shared" si="1"/>
        <v>1909.9376297100011</v>
      </c>
      <c r="D91" s="11">
        <f t="shared" si="2"/>
        <v>424.43058438000071</v>
      </c>
      <c r="E91" s="12">
        <f t="shared" si="3"/>
        <v>88000</v>
      </c>
      <c r="F91" s="12">
        <f t="shared" si="4"/>
        <v>8800</v>
      </c>
      <c r="G91" s="12">
        <f t="shared" si="5"/>
        <v>46056.581198400811</v>
      </c>
      <c r="H91" s="12">
        <f t="shared" si="6"/>
        <v>54856.581198400811</v>
      </c>
      <c r="I91" s="12">
        <f t="shared" si="7"/>
        <v>9253.9238542546991</v>
      </c>
      <c r="J91" s="12">
        <f t="shared" si="8"/>
        <v>8800</v>
      </c>
      <c r="K91" s="12">
        <f t="shared" si="9"/>
        <v>33143.418801599189</v>
      </c>
      <c r="L91" s="12">
        <f t="shared" si="10"/>
        <v>53027.225939062533</v>
      </c>
      <c r="M91" s="12">
        <f t="shared" si="11"/>
        <v>45658.639404687521</v>
      </c>
      <c r="N91" s="12">
        <f t="shared" si="12"/>
        <v>8248.586534375012</v>
      </c>
    </row>
    <row r="92" spans="1:14" x14ac:dyDescent="0.2">
      <c r="A92" s="16">
        <v>11</v>
      </c>
      <c r="B92" s="11">
        <f t="shared" si="0"/>
        <v>2824.5855390489023</v>
      </c>
      <c r="C92" s="11">
        <f t="shared" si="1"/>
        <v>2334.3682140900019</v>
      </c>
      <c r="D92" s="11">
        <f t="shared" si="2"/>
        <v>490.21732495890046</v>
      </c>
      <c r="E92" s="12">
        <f t="shared" si="3"/>
        <v>96800</v>
      </c>
      <c r="F92" s="12">
        <f t="shared" si="4"/>
        <v>9680</v>
      </c>
      <c r="G92" s="12">
        <f t="shared" si="5"/>
        <v>55728.463250064982</v>
      </c>
      <c r="H92" s="12">
        <f t="shared" si="6"/>
        <v>65408.463250064982</v>
      </c>
      <c r="I92" s="12">
        <f t="shared" si="7"/>
        <v>10551.882051664172</v>
      </c>
      <c r="J92" s="12">
        <f t="shared" si="8"/>
        <v>8800</v>
      </c>
      <c r="K92" s="12">
        <f t="shared" si="9"/>
        <v>31391.536749935018</v>
      </c>
      <c r="L92" s="12">
        <f t="shared" si="10"/>
        <v>61537.943386265666</v>
      </c>
      <c r="M92" s="12">
        <f t="shared" si="11"/>
        <v>53027.225939062533</v>
      </c>
      <c r="N92" s="12">
        <f t="shared" si="12"/>
        <v>9390.7174472031329</v>
      </c>
    </row>
    <row r="93" spans="1:14" x14ac:dyDescent="0.2">
      <c r="A93" s="16">
        <v>12</v>
      </c>
      <c r="B93" s="11">
        <f t="shared" si="0"/>
        <v>3389.502646858683</v>
      </c>
      <c r="C93" s="11">
        <f t="shared" si="1"/>
        <v>2824.5855390489023</v>
      </c>
      <c r="D93" s="11">
        <f t="shared" si="2"/>
        <v>564.91710780978065</v>
      </c>
      <c r="E93" s="12">
        <f t="shared" si="3"/>
        <v>105600</v>
      </c>
      <c r="F93" s="12">
        <f t="shared" si="4"/>
        <v>10560</v>
      </c>
      <c r="G93" s="12">
        <f t="shared" si="5"/>
        <v>66874.155900077982</v>
      </c>
      <c r="H93" s="12">
        <f t="shared" si="6"/>
        <v>77434.155900077982</v>
      </c>
      <c r="I93" s="12">
        <f t="shared" si="7"/>
        <v>12025.692650012999</v>
      </c>
      <c r="J93" s="12">
        <f t="shared" si="8"/>
        <v>8800</v>
      </c>
      <c r="K93" s="12">
        <f t="shared" si="9"/>
        <v>28165.844099922018</v>
      </c>
      <c r="L93" s="12">
        <f t="shared" si="10"/>
        <v>71345.532063518796</v>
      </c>
      <c r="M93" s="12">
        <f t="shared" si="11"/>
        <v>61537.943386265666</v>
      </c>
      <c r="N93" s="12">
        <f t="shared" si="12"/>
        <v>10687.58867725313</v>
      </c>
    </row>
    <row r="94" spans="1:14" x14ac:dyDescent="0.2">
      <c r="A94" s="16">
        <v>13</v>
      </c>
      <c r="B94" s="11">
        <f t="shared" si="0"/>
        <v>4039.1573208399304</v>
      </c>
      <c r="C94" s="11">
        <f t="shared" si="1"/>
        <v>3389.502646858683</v>
      </c>
      <c r="D94" s="11">
        <f t="shared" si="2"/>
        <v>649.65467398124747</v>
      </c>
      <c r="E94" s="12">
        <f t="shared" si="3"/>
        <v>114400</v>
      </c>
      <c r="F94" s="12">
        <f t="shared" si="4"/>
        <v>11440</v>
      </c>
      <c r="G94" s="12">
        <f t="shared" si="5"/>
        <v>79691.702447592921</v>
      </c>
      <c r="H94" s="12">
        <f t="shared" si="6"/>
        <v>91131.702447592921</v>
      </c>
      <c r="I94" s="12">
        <f t="shared" si="7"/>
        <v>13697.546547514945</v>
      </c>
      <c r="J94" s="12">
        <f t="shared" si="8"/>
        <v>8800</v>
      </c>
      <c r="K94" s="12">
        <f t="shared" si="9"/>
        <v>23268.297552407079</v>
      </c>
      <c r="L94" s="12">
        <f t="shared" si="10"/>
        <v>82624.259042359903</v>
      </c>
      <c r="M94" s="12">
        <f t="shared" si="11"/>
        <v>71345.532063518796</v>
      </c>
      <c r="N94" s="12">
        <f t="shared" si="12"/>
        <v>12158.726978841107</v>
      </c>
    </row>
    <row r="95" spans="1:14" x14ac:dyDescent="0.2">
      <c r="A95" s="16">
        <v>14</v>
      </c>
      <c r="B95" s="11">
        <f t="shared" si="0"/>
        <v>4784.8479031488414</v>
      </c>
      <c r="C95" s="11">
        <f t="shared" si="1"/>
        <v>4039.1573208399304</v>
      </c>
      <c r="D95" s="11">
        <f t="shared" si="2"/>
        <v>745.69058230891096</v>
      </c>
      <c r="E95" s="12">
        <f t="shared" si="3"/>
        <v>123200</v>
      </c>
      <c r="F95" s="12">
        <f t="shared" si="4"/>
        <v>12320</v>
      </c>
      <c r="G95" s="12">
        <f t="shared" si="5"/>
        <v>94404.01674561009</v>
      </c>
      <c r="H95" s="12">
        <f t="shared" si="6"/>
        <v>106724.01674561009</v>
      </c>
      <c r="I95" s="12">
        <f t="shared" si="7"/>
        <v>15592.314298017169</v>
      </c>
      <c r="J95" s="12">
        <f t="shared" si="8"/>
        <v>8800</v>
      </c>
      <c r="K95" s="12">
        <f t="shared" si="9"/>
        <v>16475.98325438991</v>
      </c>
      <c r="L95" s="12">
        <f t="shared" si="10"/>
        <v>95570.276096334055</v>
      </c>
      <c r="M95" s="12">
        <f t="shared" si="11"/>
        <v>82624.259042359903</v>
      </c>
      <c r="N95" s="12">
        <f t="shared" si="12"/>
        <v>13826.017053974152</v>
      </c>
    </row>
    <row r="96" spans="1:14" x14ac:dyDescent="0.2">
      <c r="A96" s="16">
        <v>15</v>
      </c>
      <c r="B96" s="11">
        <f t="shared" si="0"/>
        <v>5639.2850287111351</v>
      </c>
      <c r="C96" s="11">
        <f t="shared" si="1"/>
        <v>4784.8479031488414</v>
      </c>
      <c r="D96" s="11">
        <f t="shared" si="2"/>
        <v>854.43712556229366</v>
      </c>
      <c r="E96" s="12">
        <f t="shared" si="3"/>
        <v>132000</v>
      </c>
      <c r="F96" s="12">
        <f t="shared" si="4"/>
        <v>13200</v>
      </c>
      <c r="G96" s="12">
        <f t="shared" si="5"/>
        <v>111261.87687875476</v>
      </c>
      <c r="H96" s="12">
        <f t="shared" si="6"/>
        <v>124461.87687875476</v>
      </c>
      <c r="I96" s="12">
        <f t="shared" si="7"/>
        <v>17737.86013314467</v>
      </c>
      <c r="J96" s="12">
        <f t="shared" si="8"/>
        <v>8800</v>
      </c>
      <c r="K96" s="12">
        <f t="shared" si="9"/>
        <v>7538.1231212452403</v>
      </c>
      <c r="L96" s="12">
        <f t="shared" si="10"/>
        <v>110404.25397067942</v>
      </c>
      <c r="M96" s="12">
        <f t="shared" si="11"/>
        <v>95570.276096334055</v>
      </c>
      <c r="N96" s="12">
        <f t="shared" si="12"/>
        <v>15713.977874345364</v>
      </c>
    </row>
    <row r="97" spans="1:14" x14ac:dyDescent="0.2">
      <c r="A97" s="16">
        <v>16</v>
      </c>
      <c r="B97" s="11">
        <f t="shared" si="0"/>
        <v>6616.761100354398</v>
      </c>
      <c r="C97" s="11">
        <f t="shared" si="1"/>
        <v>5639.2850287111351</v>
      </c>
      <c r="D97" s="11">
        <f t="shared" si="2"/>
        <v>977.47607164326291</v>
      </c>
      <c r="E97" s="12">
        <f t="shared" si="3"/>
        <v>140800</v>
      </c>
      <c r="F97" s="12">
        <f t="shared" si="4"/>
        <v>14080</v>
      </c>
      <c r="G97" s="12">
        <f t="shared" si="5"/>
        <v>130547.26887107224</v>
      </c>
      <c r="H97" s="12">
        <f t="shared" si="6"/>
        <v>144627.26887107224</v>
      </c>
      <c r="I97" s="12">
        <f t="shared" si="7"/>
        <v>20165.391992317484</v>
      </c>
      <c r="J97" s="12">
        <f t="shared" si="8"/>
        <v>8800</v>
      </c>
      <c r="K97" s="12">
        <f t="shared" si="9"/>
        <v>-3827.2688710722432</v>
      </c>
      <c r="L97" s="12">
        <f t="shared" si="10"/>
        <v>127374.32465893052</v>
      </c>
      <c r="M97" s="12">
        <f t="shared" si="11"/>
        <v>110404.25397067942</v>
      </c>
      <c r="N97" s="12">
        <f t="shared" si="12"/>
        <v>17850.0706882511</v>
      </c>
    </row>
    <row r="98" spans="1:14" x14ac:dyDescent="0.2">
      <c r="A98" s="16">
        <v>17</v>
      </c>
      <c r="B98" s="11">
        <f t="shared" si="0"/>
        <v>7733.3395360392033</v>
      </c>
      <c r="C98" s="11">
        <f t="shared" si="1"/>
        <v>6616.761100354398</v>
      </c>
      <c r="D98" s="11">
        <f t="shared" si="2"/>
        <v>1116.5784356848053</v>
      </c>
      <c r="E98" s="12">
        <f t="shared" si="3"/>
        <v>149600</v>
      </c>
      <c r="F98" s="12">
        <f t="shared" si="4"/>
        <v>14960</v>
      </c>
      <c r="G98" s="12">
        <f t="shared" si="5"/>
        <v>152577.12049306571</v>
      </c>
      <c r="H98" s="12">
        <f t="shared" si="6"/>
        <v>167537.12049306571</v>
      </c>
      <c r="I98" s="12">
        <f t="shared" si="7"/>
        <v>22909.851621993454</v>
      </c>
      <c r="J98" s="12">
        <f t="shared" si="8"/>
        <v>8800</v>
      </c>
      <c r="K98" s="12">
        <f t="shared" si="9"/>
        <v>-17937.120493065711</v>
      </c>
      <c r="L98" s="12">
        <f t="shared" si="10"/>
        <v>146759.36694512505</v>
      </c>
      <c r="M98" s="12">
        <f t="shared" si="11"/>
        <v>127374.32465893052</v>
      </c>
      <c r="N98" s="12">
        <f t="shared" si="12"/>
        <v>20265.042286194526</v>
      </c>
    </row>
    <row r="99" spans="1:14" x14ac:dyDescent="0.2">
      <c r="A99" s="16">
        <v>18</v>
      </c>
      <c r="B99" s="11">
        <f t="shared" si="0"/>
        <v>9007.0660478574246</v>
      </c>
      <c r="C99" s="11">
        <f t="shared" si="1"/>
        <v>7733.3395360392033</v>
      </c>
      <c r="D99" s="11">
        <f t="shared" si="2"/>
        <v>1273.7265118182213</v>
      </c>
      <c r="E99" s="12">
        <f t="shared" si="3"/>
        <v>158400</v>
      </c>
      <c r="F99" s="12">
        <f t="shared" si="4"/>
        <v>15840</v>
      </c>
      <c r="G99" s="12">
        <f t="shared" si="5"/>
        <v>177707.46975074711</v>
      </c>
      <c r="H99" s="12">
        <f t="shared" si="6"/>
        <v>193547.46975074711</v>
      </c>
      <c r="I99" s="12">
        <f t="shared" si="7"/>
        <v>26010.349257681402</v>
      </c>
      <c r="J99" s="12">
        <f t="shared" si="8"/>
        <v>8800</v>
      </c>
      <c r="K99" s="12">
        <f t="shared" si="9"/>
        <v>-35147.469750747114</v>
      </c>
      <c r="L99" s="12">
        <f t="shared" si="10"/>
        <v>168872.67444196917</v>
      </c>
      <c r="M99" s="12">
        <f t="shared" si="11"/>
        <v>146759.36694512505</v>
      </c>
      <c r="N99" s="12">
        <f t="shared" si="12"/>
        <v>22993.307496844121</v>
      </c>
    </row>
    <row r="100" spans="1:14" x14ac:dyDescent="0.2">
      <c r="A100" s="16">
        <v>19</v>
      </c>
      <c r="B100" s="11">
        <f t="shared" si="0"/>
        <v>10458.204466678902</v>
      </c>
      <c r="C100" s="11">
        <f t="shared" si="1"/>
        <v>9007.0660478574246</v>
      </c>
      <c r="D100" s="11">
        <f t="shared" si="2"/>
        <v>1451.1384188214779</v>
      </c>
      <c r="E100" s="12">
        <f t="shared" si="3"/>
        <v>167200</v>
      </c>
      <c r="F100" s="12">
        <f t="shared" si="4"/>
        <v>16720</v>
      </c>
      <c r="G100" s="12">
        <f t="shared" si="5"/>
        <v>206338.11765503421</v>
      </c>
      <c r="H100" s="12">
        <f t="shared" si="6"/>
        <v>223058.11765503421</v>
      </c>
      <c r="I100" s="12">
        <f t="shared" si="7"/>
        <v>29510.647904287111</v>
      </c>
      <c r="J100" s="12">
        <f t="shared" si="8"/>
        <v>8800</v>
      </c>
      <c r="K100" s="12">
        <f t="shared" si="9"/>
        <v>-55858.117655034206</v>
      </c>
      <c r="L100" s="12">
        <f t="shared" si="10"/>
        <v>194066.04976873094</v>
      </c>
      <c r="M100" s="12">
        <f t="shared" si="11"/>
        <v>168872.67444196917</v>
      </c>
      <c r="N100" s="12">
        <f t="shared" si="12"/>
        <v>26073.375326761772</v>
      </c>
    </row>
    <row r="101" spans="1:14" x14ac:dyDescent="0.2">
      <c r="A101" s="16">
        <v>20</v>
      </c>
      <c r="B101" s="11">
        <f t="shared" si="0"/>
        <v>12109.499908786096</v>
      </c>
      <c r="C101" s="11">
        <f t="shared" si="1"/>
        <v>10458.204466678902</v>
      </c>
      <c r="D101" s="11">
        <f t="shared" si="2"/>
        <v>1651.2954421071936</v>
      </c>
      <c r="E101" s="12">
        <f t="shared" si="3"/>
        <v>176000</v>
      </c>
      <c r="F101" s="12">
        <f t="shared" si="4"/>
        <v>17600</v>
      </c>
      <c r="G101" s="12">
        <f t="shared" si="5"/>
        <v>238917.82044267116</v>
      </c>
      <c r="H101" s="12">
        <f t="shared" si="6"/>
        <v>256517.82044267116</v>
      </c>
      <c r="I101" s="12">
        <f t="shared" si="7"/>
        <v>33459.702787636954</v>
      </c>
      <c r="J101" s="12">
        <f t="shared" si="8"/>
        <v>8800</v>
      </c>
      <c r="K101" s="12">
        <f t="shared" si="9"/>
        <v>-80517.82044267116</v>
      </c>
      <c r="L101" s="12">
        <f t="shared" si="10"/>
        <v>222734.37341642528</v>
      </c>
      <c r="M101" s="12">
        <f t="shared" si="11"/>
        <v>194066.04976873094</v>
      </c>
      <c r="N101" s="12">
        <f t="shared" si="12"/>
        <v>29548.323647694342</v>
      </c>
    </row>
    <row r="103" spans="1:14" x14ac:dyDescent="0.2">
      <c r="A103" s="17" t="s">
        <v>155</v>
      </c>
    </row>
    <row r="104" spans="1:14" ht="48" x14ac:dyDescent="0.2">
      <c r="A104" s="4" t="s">
        <v>141</v>
      </c>
      <c r="B104" s="4" t="s">
        <v>142</v>
      </c>
      <c r="C104" s="4" t="s">
        <v>143</v>
      </c>
      <c r="D104" s="4" t="s">
        <v>144</v>
      </c>
      <c r="E104" s="4" t="s">
        <v>145</v>
      </c>
      <c r="F104" s="4" t="s">
        <v>146</v>
      </c>
      <c r="G104" s="4" t="s">
        <v>147</v>
      </c>
      <c r="H104" s="4" t="s">
        <v>148</v>
      </c>
      <c r="I104" s="4" t="s">
        <v>149</v>
      </c>
      <c r="J104" s="4" t="s">
        <v>150</v>
      </c>
      <c r="K104" s="4" t="s">
        <v>151</v>
      </c>
      <c r="L104" s="4" t="s">
        <v>152</v>
      </c>
      <c r="M104" s="4" t="s">
        <v>153</v>
      </c>
      <c r="N104" s="4" t="s">
        <v>154</v>
      </c>
    </row>
    <row r="105" spans="1:14" x14ac:dyDescent="0.2">
      <c r="A105" s="16">
        <v>1</v>
      </c>
      <c r="B105" s="11">
        <f t="shared" ref="B105:B124" si="13">SCHED_Q_CARROTS*BASE_HRS_CARROTS*SEASON_WEEKS*(1+DIM_RATE_CARROTS)^SCHED_Q_CARROTS</f>
        <v>30.749999999999996</v>
      </c>
      <c r="C105" s="11">
        <f t="shared" ref="C105:C124" si="14">(SCHED_Q_CARROTS-1)*BASE_HRS_CARROTS*SEASON_WEEKS*(1+DIM_RATE_CARROTS)^(SCHED_Q_CARROTS-1)</f>
        <v>0</v>
      </c>
      <c r="D105" s="11">
        <f t="shared" ref="D105:D124" si="15">SCHED_LABOR_HRS_CARROTS-SCHED_LABOR_HRS_PREV_CARROTS</f>
        <v>30.749999999999996</v>
      </c>
      <c r="E105" s="12">
        <f t="shared" ref="E105:E124" si="16">SCHED_Q_CARROTS*REV_PER_BED_CARROTS</f>
        <v>2094</v>
      </c>
      <c r="F105" s="12">
        <f t="shared" ref="F105:F124" si="17">SCHED_Q_CARROTS*FERT_PER_BED_CARROTS</f>
        <v>440</v>
      </c>
      <c r="G105" s="12">
        <f t="shared" ref="G105:G124" si="18">SCHED_LABOR_HRS_CARROTS*BLENDED_LABOR_RATE</f>
        <v>606.69086534958342</v>
      </c>
      <c r="H105" s="12">
        <f t="shared" ref="H105:H124" si="19">SCHED_FERT_COST_CARROTS+SCHED_CROP_LABOR_COST_CARROTS</f>
        <v>1046.6908653495834</v>
      </c>
      <c r="I105" s="12">
        <f t="shared" ref="I105:I124" si="20">FERT_PER_BED_CARROTS+(SCHED_MARGINAL_LABOR_HRS_CARROTS*BLENDED_LABOR_RATE)</f>
        <v>1046.6908653495834</v>
      </c>
      <c r="J105" s="12">
        <f t="shared" ref="J105:J124" si="21">REV_PER_BED_CARROTS</f>
        <v>2094</v>
      </c>
      <c r="K105" s="12">
        <f t="shared" ref="K105:K124" si="22">SCHED_CROP_REVENUE_CARROTS-SCHED_CROP_TVC_CARROTS</f>
        <v>1047.3091346504166</v>
      </c>
      <c r="L105" s="12">
        <f t="shared" ref="L105:L124" si="23">IF(SCHED_LABOR_HRS_CARROTS&lt;=OWNER_MAX_HRS,SCHED_LABOR_HRS_CARROTS*OWNER_HOURLY_RATE,OWNER_MAX_HRS*OWNER_HOURLY_RATE+(SCHED_LABOR_HRS_CARROTS-OWNER_MAX_HRS)*TEMP_HOURLY_RATE)</f>
        <v>1067.7083333333333</v>
      </c>
      <c r="M105" s="12">
        <f t="shared" ref="M105:M124" si="24">IF(SCHED_LABOR_HRS_PREV_CARROTS&lt;=OWNER_MAX_HRS,SCHED_LABOR_HRS_PREV_CARROTS*OWNER_HOURLY_RATE,OWNER_MAX_HRS*OWNER_HOURLY_RATE+(SCHED_LABOR_HRS_PREV_CARROTS-OWNER_MAX_HRS)*TEMP_HOURLY_RATE)</f>
        <v>0</v>
      </c>
      <c r="N105" s="12">
        <f t="shared" ref="N105:N124" si="25">FERT_PER_BED_CARROTS+SCHED_SA_LABOR_COST_CARROTS-SCHED_SA_LABOR_COST_PREV_CARROTS</f>
        <v>1507.7083333333333</v>
      </c>
    </row>
    <row r="106" spans="1:14" x14ac:dyDescent="0.2">
      <c r="A106" s="16">
        <v>2</v>
      </c>
      <c r="B106" s="11">
        <f t="shared" si="13"/>
        <v>63.037499999999994</v>
      </c>
      <c r="C106" s="11">
        <f t="shared" si="14"/>
        <v>30.749999999999996</v>
      </c>
      <c r="D106" s="11">
        <f t="shared" si="15"/>
        <v>32.287499999999994</v>
      </c>
      <c r="E106" s="12">
        <f t="shared" si="16"/>
        <v>4188</v>
      </c>
      <c r="F106" s="12">
        <f t="shared" si="17"/>
        <v>880</v>
      </c>
      <c r="G106" s="12">
        <f t="shared" si="18"/>
        <v>1243.716273966646</v>
      </c>
      <c r="H106" s="12">
        <f t="shared" si="19"/>
        <v>2123.716273966646</v>
      </c>
      <c r="I106" s="12">
        <f t="shared" si="20"/>
        <v>1077.0254086170626</v>
      </c>
      <c r="J106" s="12">
        <f t="shared" si="21"/>
        <v>2094</v>
      </c>
      <c r="K106" s="12">
        <f t="shared" si="22"/>
        <v>2064.283726033354</v>
      </c>
      <c r="L106" s="12">
        <f t="shared" si="23"/>
        <v>2188.802083333333</v>
      </c>
      <c r="M106" s="12">
        <f t="shared" si="24"/>
        <v>1067.7083333333333</v>
      </c>
      <c r="N106" s="12">
        <f t="shared" si="25"/>
        <v>1561.0937499999998</v>
      </c>
    </row>
    <row r="107" spans="1:14" x14ac:dyDescent="0.2">
      <c r="A107" s="16">
        <v>3</v>
      </c>
      <c r="B107" s="11">
        <f t="shared" si="13"/>
        <v>96.920156249999991</v>
      </c>
      <c r="C107" s="11">
        <f t="shared" si="14"/>
        <v>63.037499999999994</v>
      </c>
      <c r="D107" s="11">
        <f t="shared" si="15"/>
        <v>33.882656249999997</v>
      </c>
      <c r="E107" s="12">
        <f t="shared" si="16"/>
        <v>6282</v>
      </c>
      <c r="F107" s="12">
        <f t="shared" si="17"/>
        <v>1320</v>
      </c>
      <c r="G107" s="12">
        <f t="shared" si="18"/>
        <v>1912.2137712237181</v>
      </c>
      <c r="H107" s="12">
        <f t="shared" si="19"/>
        <v>3232.2137712237181</v>
      </c>
      <c r="I107" s="12">
        <f t="shared" si="20"/>
        <v>1108.4974972570722</v>
      </c>
      <c r="J107" s="12">
        <f t="shared" si="21"/>
        <v>2094</v>
      </c>
      <c r="K107" s="12">
        <f t="shared" si="22"/>
        <v>3049.7862287762819</v>
      </c>
      <c r="L107" s="12">
        <f t="shared" si="23"/>
        <v>3365.2832031249995</v>
      </c>
      <c r="M107" s="12">
        <f t="shared" si="24"/>
        <v>2188.802083333333</v>
      </c>
      <c r="N107" s="12">
        <f t="shared" si="25"/>
        <v>1616.4811197916665</v>
      </c>
    </row>
    <row r="108" spans="1:14" x14ac:dyDescent="0.2">
      <c r="A108" s="16">
        <v>4</v>
      </c>
      <c r="B108" s="11">
        <f t="shared" si="13"/>
        <v>132.45754687499996</v>
      </c>
      <c r="C108" s="11">
        <f t="shared" si="14"/>
        <v>96.920156249999991</v>
      </c>
      <c r="D108" s="11">
        <f t="shared" si="15"/>
        <v>35.537390624999972</v>
      </c>
      <c r="E108" s="12">
        <f t="shared" si="16"/>
        <v>8376</v>
      </c>
      <c r="F108" s="12">
        <f t="shared" si="17"/>
        <v>1760</v>
      </c>
      <c r="G108" s="12">
        <f t="shared" si="18"/>
        <v>2613.3588206724144</v>
      </c>
      <c r="H108" s="12">
        <f t="shared" si="19"/>
        <v>4373.3588206724144</v>
      </c>
      <c r="I108" s="12">
        <f t="shared" si="20"/>
        <v>1141.1450494486962</v>
      </c>
      <c r="J108" s="12">
        <f t="shared" si="21"/>
        <v>2094</v>
      </c>
      <c r="K108" s="12">
        <f t="shared" si="22"/>
        <v>4002.6411793275856</v>
      </c>
      <c r="L108" s="12">
        <f t="shared" si="23"/>
        <v>4599.2203776041652</v>
      </c>
      <c r="M108" s="12">
        <f t="shared" si="24"/>
        <v>3365.2832031249995</v>
      </c>
      <c r="N108" s="12">
        <f t="shared" si="25"/>
        <v>1673.9371744791656</v>
      </c>
    </row>
    <row r="109" spans="1:14" x14ac:dyDescent="0.2">
      <c r="A109" s="16">
        <v>5</v>
      </c>
      <c r="B109" s="11">
        <f t="shared" si="13"/>
        <v>169.71123193359369</v>
      </c>
      <c r="C109" s="11">
        <f t="shared" si="14"/>
        <v>132.45754687499996</v>
      </c>
      <c r="D109" s="11">
        <f t="shared" si="15"/>
        <v>37.253685058593732</v>
      </c>
      <c r="E109" s="12">
        <f t="shared" si="16"/>
        <v>10470</v>
      </c>
      <c r="F109" s="12">
        <f t="shared" si="17"/>
        <v>2200</v>
      </c>
      <c r="G109" s="12">
        <f t="shared" si="18"/>
        <v>3348.3659889865307</v>
      </c>
      <c r="H109" s="12">
        <f t="shared" si="19"/>
        <v>5548.3659889865303</v>
      </c>
      <c r="I109" s="12">
        <f t="shared" si="20"/>
        <v>1175.0071683141164</v>
      </c>
      <c r="J109" s="12">
        <f t="shared" si="21"/>
        <v>2094</v>
      </c>
      <c r="K109" s="12">
        <f t="shared" si="22"/>
        <v>4921.6340110134697</v>
      </c>
      <c r="L109" s="12">
        <f t="shared" si="23"/>
        <v>5892.7511088053361</v>
      </c>
      <c r="M109" s="12">
        <f t="shared" si="24"/>
        <v>4599.2203776041652</v>
      </c>
      <c r="N109" s="12">
        <f t="shared" si="25"/>
        <v>1733.530731201171</v>
      </c>
    </row>
    <row r="110" spans="1:14" x14ac:dyDescent="0.2">
      <c r="A110" s="16">
        <v>6</v>
      </c>
      <c r="B110" s="11">
        <f t="shared" si="13"/>
        <v>208.74481527832023</v>
      </c>
      <c r="C110" s="11">
        <f t="shared" si="14"/>
        <v>169.71123193359369</v>
      </c>
      <c r="D110" s="11">
        <f t="shared" si="15"/>
        <v>39.033583344726537</v>
      </c>
      <c r="E110" s="12">
        <f t="shared" si="16"/>
        <v>12564</v>
      </c>
      <c r="F110" s="12">
        <f t="shared" si="17"/>
        <v>2640</v>
      </c>
      <c r="G110" s="12">
        <f t="shared" si="18"/>
        <v>4118.4901664534327</v>
      </c>
      <c r="H110" s="12">
        <f t="shared" si="19"/>
        <v>6758.4901664534327</v>
      </c>
      <c r="I110" s="12">
        <f t="shared" si="20"/>
        <v>1210.1241774669018</v>
      </c>
      <c r="J110" s="12">
        <f t="shared" si="21"/>
        <v>2094</v>
      </c>
      <c r="K110" s="12">
        <f t="shared" si="22"/>
        <v>5805.5098335465673</v>
      </c>
      <c r="L110" s="12">
        <f t="shared" si="23"/>
        <v>7248.0838638305631</v>
      </c>
      <c r="M110" s="12">
        <f t="shared" si="24"/>
        <v>5892.7511088053361</v>
      </c>
      <c r="N110" s="12">
        <f t="shared" si="25"/>
        <v>1795.332755025227</v>
      </c>
    </row>
    <row r="111" spans="1:14" x14ac:dyDescent="0.2">
      <c r="A111" s="16">
        <v>7</v>
      </c>
      <c r="B111" s="11">
        <f t="shared" si="13"/>
        <v>249.62400827032465</v>
      </c>
      <c r="C111" s="11">
        <f t="shared" si="14"/>
        <v>208.74481527832023</v>
      </c>
      <c r="D111" s="11">
        <f t="shared" si="15"/>
        <v>40.87919299200442</v>
      </c>
      <c r="E111" s="12">
        <f t="shared" si="16"/>
        <v>14658</v>
      </c>
      <c r="F111" s="12">
        <f t="shared" si="17"/>
        <v>3080</v>
      </c>
      <c r="G111" s="12">
        <f t="shared" si="18"/>
        <v>4925.027824050564</v>
      </c>
      <c r="H111" s="12">
        <f t="shared" si="19"/>
        <v>8005.027824050564</v>
      </c>
      <c r="I111" s="12">
        <f t="shared" si="20"/>
        <v>1246.5376575971313</v>
      </c>
      <c r="J111" s="12">
        <f t="shared" si="21"/>
        <v>2094</v>
      </c>
      <c r="K111" s="12">
        <f t="shared" si="22"/>
        <v>6652.972175949436</v>
      </c>
      <c r="L111" s="12">
        <f t="shared" si="23"/>
        <v>8667.50028716405</v>
      </c>
      <c r="M111" s="12">
        <f t="shared" si="24"/>
        <v>7248.0838638305631</v>
      </c>
      <c r="N111" s="12">
        <f t="shared" si="25"/>
        <v>1859.4164233334868</v>
      </c>
    </row>
    <row r="112" spans="1:14" x14ac:dyDescent="0.2">
      <c r="A112" s="16">
        <v>8</v>
      </c>
      <c r="B112" s="11">
        <f t="shared" si="13"/>
        <v>292.41669540238024</v>
      </c>
      <c r="C112" s="11">
        <f t="shared" si="14"/>
        <v>249.62400827032465</v>
      </c>
      <c r="D112" s="11">
        <f t="shared" si="15"/>
        <v>42.79268713205559</v>
      </c>
      <c r="E112" s="12">
        <f t="shared" si="16"/>
        <v>16752</v>
      </c>
      <c r="F112" s="12">
        <f t="shared" si="17"/>
        <v>3520</v>
      </c>
      <c r="G112" s="12">
        <f t="shared" si="18"/>
        <v>5769.318308173516</v>
      </c>
      <c r="H112" s="12">
        <f t="shared" si="19"/>
        <v>9289.3183081735151</v>
      </c>
      <c r="I112" s="12">
        <f t="shared" si="20"/>
        <v>1284.2904841229524</v>
      </c>
      <c r="J112" s="12">
        <f t="shared" si="21"/>
        <v>2094</v>
      </c>
      <c r="K112" s="12">
        <f t="shared" si="22"/>
        <v>7462.6816918264849</v>
      </c>
      <c r="L112" s="12">
        <f t="shared" si="23"/>
        <v>10153.357479249315</v>
      </c>
      <c r="M112" s="12">
        <f t="shared" si="24"/>
        <v>8667.50028716405</v>
      </c>
      <c r="N112" s="12">
        <f t="shared" si="25"/>
        <v>1925.8571920852646</v>
      </c>
    </row>
    <row r="113" spans="1:14" x14ac:dyDescent="0.2">
      <c r="A113" s="16">
        <v>9</v>
      </c>
      <c r="B113" s="11">
        <f t="shared" si="13"/>
        <v>337.19300188586965</v>
      </c>
      <c r="C113" s="11">
        <f t="shared" si="14"/>
        <v>292.41669540238024</v>
      </c>
      <c r="D113" s="11">
        <f t="shared" si="15"/>
        <v>44.776306483489407</v>
      </c>
      <c r="E113" s="12">
        <f t="shared" si="16"/>
        <v>18846</v>
      </c>
      <c r="F113" s="12">
        <f t="shared" si="17"/>
        <v>3960</v>
      </c>
      <c r="G113" s="12">
        <f t="shared" si="18"/>
        <v>6652.7451741125842</v>
      </c>
      <c r="H113" s="12">
        <f t="shared" si="19"/>
        <v>10612.745174112584</v>
      </c>
      <c r="I113" s="12">
        <f t="shared" si="20"/>
        <v>1323.4268659390682</v>
      </c>
      <c r="J113" s="12">
        <f t="shared" si="21"/>
        <v>2094</v>
      </c>
      <c r="K113" s="12">
        <f t="shared" si="22"/>
        <v>8233.2548258874158</v>
      </c>
      <c r="L113" s="12">
        <f t="shared" si="23"/>
        <v>11708.090343259362</v>
      </c>
      <c r="M113" s="12">
        <f t="shared" si="24"/>
        <v>10153.357479249315</v>
      </c>
      <c r="N113" s="12">
        <f t="shared" si="25"/>
        <v>1994.7328640100477</v>
      </c>
    </row>
    <row r="114" spans="1:14" x14ac:dyDescent="0.2">
      <c r="A114" s="16">
        <v>10</v>
      </c>
      <c r="B114" s="11">
        <f t="shared" si="13"/>
        <v>384.02536325890713</v>
      </c>
      <c r="C114" s="11">
        <f t="shared" si="14"/>
        <v>337.19300188586965</v>
      </c>
      <c r="D114" s="11">
        <f t="shared" si="15"/>
        <v>46.832361373037486</v>
      </c>
      <c r="E114" s="12">
        <f t="shared" si="16"/>
        <v>20940</v>
      </c>
      <c r="F114" s="12">
        <f t="shared" si="17"/>
        <v>4400</v>
      </c>
      <c r="G114" s="12">
        <f t="shared" si="18"/>
        <v>7576.7375594059995</v>
      </c>
      <c r="H114" s="12">
        <f t="shared" si="19"/>
        <v>11976.737559405999</v>
      </c>
      <c r="I114" s="12">
        <f t="shared" si="20"/>
        <v>1363.9923852934153</v>
      </c>
      <c r="J114" s="12">
        <f t="shared" si="21"/>
        <v>2094</v>
      </c>
      <c r="K114" s="12">
        <f t="shared" si="22"/>
        <v>8963.2624405940005</v>
      </c>
      <c r="L114" s="12">
        <f t="shared" si="23"/>
        <v>13334.214002045386</v>
      </c>
      <c r="M114" s="12">
        <f t="shared" si="24"/>
        <v>11708.090343259362</v>
      </c>
      <c r="N114" s="12">
        <f t="shared" si="25"/>
        <v>2066.123658786024</v>
      </c>
    </row>
    <row r="115" spans="1:14" x14ac:dyDescent="0.2">
      <c r="A115" s="16">
        <v>11</v>
      </c>
      <c r="B115" s="11">
        <f t="shared" si="13"/>
        <v>432.98859707441784</v>
      </c>
      <c r="C115" s="11">
        <f t="shared" si="14"/>
        <v>384.02536325890713</v>
      </c>
      <c r="D115" s="11">
        <f t="shared" si="15"/>
        <v>48.963233815510705</v>
      </c>
      <c r="E115" s="12">
        <f t="shared" si="16"/>
        <v>23034</v>
      </c>
      <c r="F115" s="12">
        <f t="shared" si="17"/>
        <v>4840</v>
      </c>
      <c r="G115" s="12">
        <f t="shared" si="18"/>
        <v>8542.7715982302652</v>
      </c>
      <c r="H115" s="12">
        <f t="shared" si="19"/>
        <v>13382.771598230265</v>
      </c>
      <c r="I115" s="12">
        <f t="shared" si="20"/>
        <v>1406.0340388242657</v>
      </c>
      <c r="J115" s="12">
        <f t="shared" si="21"/>
        <v>2094</v>
      </c>
      <c r="K115" s="12">
        <f t="shared" si="22"/>
        <v>9651.2284017697348</v>
      </c>
      <c r="L115" s="12">
        <f t="shared" si="23"/>
        <v>15034.326287306174</v>
      </c>
      <c r="M115" s="12">
        <f t="shared" si="24"/>
        <v>13334.214002045386</v>
      </c>
      <c r="N115" s="12">
        <f t="shared" si="25"/>
        <v>2140.1122852607878</v>
      </c>
    </row>
    <row r="116" spans="1:14" x14ac:dyDescent="0.2">
      <c r="A116" s="16">
        <v>12</v>
      </c>
      <c r="B116" s="11">
        <f t="shared" si="13"/>
        <v>484.15997672866712</v>
      </c>
      <c r="C116" s="11">
        <f t="shared" si="14"/>
        <v>432.98859707441784</v>
      </c>
      <c r="D116" s="11">
        <f t="shared" si="15"/>
        <v>51.171379654249279</v>
      </c>
      <c r="E116" s="12">
        <f t="shared" si="16"/>
        <v>25128</v>
      </c>
      <c r="F116" s="12">
        <f t="shared" si="17"/>
        <v>5280</v>
      </c>
      <c r="G116" s="12">
        <f t="shared" si="18"/>
        <v>9552.3718780211129</v>
      </c>
      <c r="H116" s="12">
        <f t="shared" si="19"/>
        <v>14832.371878021113</v>
      </c>
      <c r="I116" s="12">
        <f t="shared" si="20"/>
        <v>1449.6002797908477</v>
      </c>
      <c r="J116" s="12">
        <f t="shared" si="21"/>
        <v>2094</v>
      </c>
      <c r="K116" s="12">
        <f t="shared" si="22"/>
        <v>10295.628121978887</v>
      </c>
      <c r="L116" s="12">
        <f t="shared" si="23"/>
        <v>16811.11030307872</v>
      </c>
      <c r="M116" s="12">
        <f t="shared" si="24"/>
        <v>15034.326287306174</v>
      </c>
      <c r="N116" s="12">
        <f t="shared" si="25"/>
        <v>2216.7840157725459</v>
      </c>
    </row>
    <row r="117" spans="1:14" x14ac:dyDescent="0.2">
      <c r="A117" s="16">
        <v>13</v>
      </c>
      <c r="B117" s="11">
        <f t="shared" si="13"/>
        <v>537.61930749245744</v>
      </c>
      <c r="C117" s="11">
        <f t="shared" si="14"/>
        <v>484.15997672866712</v>
      </c>
      <c r="D117" s="11">
        <f t="shared" si="15"/>
        <v>53.459330763790319</v>
      </c>
      <c r="E117" s="12">
        <f t="shared" si="16"/>
        <v>27222</v>
      </c>
      <c r="F117" s="12">
        <f t="shared" si="17"/>
        <v>5720</v>
      </c>
      <c r="G117" s="12">
        <f t="shared" si="18"/>
        <v>10607.112939552611</v>
      </c>
      <c r="H117" s="12">
        <f t="shared" si="19"/>
        <v>16327.112939552611</v>
      </c>
      <c r="I117" s="12">
        <f t="shared" si="20"/>
        <v>1494.7410615314977</v>
      </c>
      <c r="J117" s="12">
        <f t="shared" si="21"/>
        <v>2094</v>
      </c>
      <c r="K117" s="12">
        <f t="shared" si="22"/>
        <v>10894.887060447389</v>
      </c>
      <c r="L117" s="12">
        <f t="shared" si="23"/>
        <v>18667.337065710326</v>
      </c>
      <c r="M117" s="12">
        <f t="shared" si="24"/>
        <v>16811.11030307872</v>
      </c>
      <c r="N117" s="12">
        <f t="shared" si="25"/>
        <v>2296.2267626316061</v>
      </c>
    </row>
    <row r="118" spans="1:14" x14ac:dyDescent="0.2">
      <c r="A118" s="16">
        <v>14</v>
      </c>
      <c r="B118" s="11">
        <f t="shared" si="13"/>
        <v>593.44900480898184</v>
      </c>
      <c r="C118" s="11">
        <f t="shared" si="14"/>
        <v>537.61930749245744</v>
      </c>
      <c r="D118" s="11">
        <f t="shared" si="15"/>
        <v>55.829697316524403</v>
      </c>
      <c r="E118" s="12">
        <f t="shared" si="16"/>
        <v>29316</v>
      </c>
      <c r="F118" s="12">
        <f t="shared" si="17"/>
        <v>6160</v>
      </c>
      <c r="G118" s="12">
        <f t="shared" si="18"/>
        <v>11708.62082173692</v>
      </c>
      <c r="H118" s="12">
        <f t="shared" si="19"/>
        <v>17868.62082173692</v>
      </c>
      <c r="I118" s="12">
        <f t="shared" si="20"/>
        <v>1541.5078821843092</v>
      </c>
      <c r="J118" s="12">
        <f t="shared" si="21"/>
        <v>2094</v>
      </c>
      <c r="K118" s="12">
        <f t="shared" si="22"/>
        <v>11447.37917826308</v>
      </c>
      <c r="L118" s="12">
        <f t="shared" si="23"/>
        <v>20605.868222534093</v>
      </c>
      <c r="M118" s="12">
        <f t="shared" si="24"/>
        <v>18667.337065710326</v>
      </c>
      <c r="N118" s="12">
        <f t="shared" si="25"/>
        <v>2378.5311568237667</v>
      </c>
    </row>
    <row r="119" spans="1:14" x14ac:dyDescent="0.2">
      <c r="A119" s="16">
        <v>15</v>
      </c>
      <c r="B119" s="11">
        <f t="shared" si="13"/>
        <v>651.73417492414967</v>
      </c>
      <c r="C119" s="11">
        <f t="shared" si="14"/>
        <v>593.44900480898184</v>
      </c>
      <c r="D119" s="11">
        <f t="shared" si="15"/>
        <v>58.28517011516783</v>
      </c>
      <c r="E119" s="12">
        <f t="shared" si="16"/>
        <v>31410</v>
      </c>
      <c r="F119" s="12">
        <f t="shared" si="17"/>
        <v>6600</v>
      </c>
      <c r="G119" s="12">
        <f t="shared" si="18"/>
        <v>12858.574652443223</v>
      </c>
      <c r="H119" s="12">
        <f t="shared" si="19"/>
        <v>19458.574652443225</v>
      </c>
      <c r="I119" s="12">
        <f t="shared" si="20"/>
        <v>1589.9538307063042</v>
      </c>
      <c r="J119" s="12">
        <f t="shared" si="21"/>
        <v>2094</v>
      </c>
      <c r="K119" s="12">
        <f t="shared" si="22"/>
        <v>11951.425347556775</v>
      </c>
      <c r="L119" s="12">
        <f t="shared" si="23"/>
        <v>22629.658851532975</v>
      </c>
      <c r="M119" s="12">
        <f t="shared" si="24"/>
        <v>20605.868222534093</v>
      </c>
      <c r="N119" s="12">
        <f t="shared" si="25"/>
        <v>2463.7906289988823</v>
      </c>
    </row>
    <row r="120" spans="1:14" x14ac:dyDescent="0.2">
      <c r="A120" s="16">
        <v>16</v>
      </c>
      <c r="B120" s="11">
        <f t="shared" si="13"/>
        <v>712.5626979170703</v>
      </c>
      <c r="C120" s="11">
        <f t="shared" si="14"/>
        <v>651.73417492414967</v>
      </c>
      <c r="D120" s="11">
        <f t="shared" si="15"/>
        <v>60.828522992920625</v>
      </c>
      <c r="E120" s="12">
        <f t="shared" si="16"/>
        <v>33504</v>
      </c>
      <c r="F120" s="12">
        <f t="shared" si="17"/>
        <v>7040</v>
      </c>
      <c r="G120" s="12">
        <f t="shared" si="18"/>
        <v>14058.708286671259</v>
      </c>
      <c r="H120" s="12">
        <f t="shared" si="19"/>
        <v>21098.708286671259</v>
      </c>
      <c r="I120" s="12">
        <f t="shared" si="20"/>
        <v>1640.133634228034</v>
      </c>
      <c r="J120" s="12">
        <f t="shared" si="21"/>
        <v>2094</v>
      </c>
      <c r="K120" s="12">
        <f t="shared" si="22"/>
        <v>12405.291713328741</v>
      </c>
      <c r="L120" s="12">
        <f t="shared" si="23"/>
        <v>24741.760344342718</v>
      </c>
      <c r="M120" s="12">
        <f t="shared" si="24"/>
        <v>22629.658851532975</v>
      </c>
      <c r="N120" s="12">
        <f t="shared" si="25"/>
        <v>2552.1014928097429</v>
      </c>
    </row>
    <row r="121" spans="1:14" x14ac:dyDescent="0.2">
      <c r="A121" s="16">
        <v>17</v>
      </c>
      <c r="B121" s="11">
        <f t="shared" si="13"/>
        <v>776.02531320030937</v>
      </c>
      <c r="C121" s="11">
        <f t="shared" si="14"/>
        <v>712.5626979170703</v>
      </c>
      <c r="D121" s="11">
        <f t="shared" si="15"/>
        <v>63.462615283239074</v>
      </c>
      <c r="E121" s="12">
        <f t="shared" si="16"/>
        <v>35598</v>
      </c>
      <c r="F121" s="12">
        <f t="shared" si="17"/>
        <v>7480</v>
      </c>
      <c r="G121" s="12">
        <f t="shared" si="18"/>
        <v>15310.811993452917</v>
      </c>
      <c r="H121" s="12">
        <f t="shared" si="19"/>
        <v>22790.811993452917</v>
      </c>
      <c r="I121" s="12">
        <f t="shared" si="20"/>
        <v>1692.103706781659</v>
      </c>
      <c r="J121" s="12">
        <f t="shared" si="21"/>
        <v>2094</v>
      </c>
      <c r="K121" s="12">
        <f t="shared" si="22"/>
        <v>12807.188006547083</v>
      </c>
      <c r="L121" s="12">
        <f t="shared" si="23"/>
        <v>25972.66168750537</v>
      </c>
      <c r="M121" s="12">
        <f t="shared" si="24"/>
        <v>24741.760344342718</v>
      </c>
      <c r="N121" s="12">
        <f t="shared" si="25"/>
        <v>1670.9013431626518</v>
      </c>
    </row>
    <row r="122" spans="1:14" x14ac:dyDescent="0.2">
      <c r="A122" s="16">
        <v>18</v>
      </c>
      <c r="B122" s="11">
        <f t="shared" si="13"/>
        <v>842.2157075615122</v>
      </c>
      <c r="C122" s="11">
        <f t="shared" si="14"/>
        <v>776.02531320030937</v>
      </c>
      <c r="D122" s="11">
        <f t="shared" si="15"/>
        <v>66.190394361202834</v>
      </c>
      <c r="E122" s="12">
        <f t="shared" si="16"/>
        <v>37692</v>
      </c>
      <c r="F122" s="12">
        <f t="shared" si="17"/>
        <v>7920</v>
      </c>
      <c r="G122" s="12">
        <f t="shared" si="18"/>
        <v>16616.734192894488</v>
      </c>
      <c r="H122" s="12">
        <f t="shared" si="19"/>
        <v>24536.734192894488</v>
      </c>
      <c r="I122" s="12">
        <f t="shared" si="20"/>
        <v>1745.9221994415718</v>
      </c>
      <c r="J122" s="12">
        <f t="shared" si="21"/>
        <v>2094</v>
      </c>
      <c r="K122" s="12">
        <f t="shared" si="22"/>
        <v>13155.265807105512</v>
      </c>
      <c r="L122" s="12">
        <f t="shared" si="23"/>
        <v>27121.800478498477</v>
      </c>
      <c r="M122" s="12">
        <f t="shared" si="24"/>
        <v>25972.66168750537</v>
      </c>
      <c r="N122" s="12">
        <f t="shared" si="25"/>
        <v>1589.1387909931072</v>
      </c>
    </row>
    <row r="123" spans="1:14" x14ac:dyDescent="0.2">
      <c r="A123" s="16">
        <v>19</v>
      </c>
      <c r="B123" s="11">
        <f t="shared" si="13"/>
        <v>911.23060582002495</v>
      </c>
      <c r="C123" s="11">
        <f t="shared" si="14"/>
        <v>842.2157075615122</v>
      </c>
      <c r="D123" s="11">
        <f t="shared" si="15"/>
        <v>69.014898258512744</v>
      </c>
      <c r="E123" s="12">
        <f t="shared" si="16"/>
        <v>39786</v>
      </c>
      <c r="F123" s="12">
        <f t="shared" si="17"/>
        <v>8360</v>
      </c>
      <c r="G123" s="12">
        <f t="shared" si="18"/>
        <v>17978.38324481223</v>
      </c>
      <c r="H123" s="12">
        <f t="shared" si="19"/>
        <v>26338.38324481223</v>
      </c>
      <c r="I123" s="12">
        <f t="shared" si="20"/>
        <v>1801.6490519177416</v>
      </c>
      <c r="J123" s="12">
        <f t="shared" si="21"/>
        <v>2094</v>
      </c>
      <c r="K123" s="12">
        <f t="shared" si="22"/>
        <v>13447.61675518777</v>
      </c>
      <c r="L123" s="12">
        <f t="shared" si="23"/>
        <v>28319.975795486545</v>
      </c>
      <c r="M123" s="12">
        <f t="shared" si="24"/>
        <v>27121.800478498477</v>
      </c>
      <c r="N123" s="12">
        <f t="shared" si="25"/>
        <v>1638.1753169880685</v>
      </c>
    </row>
    <row r="124" spans="1:14" x14ac:dyDescent="0.2">
      <c r="A124" s="16">
        <v>20</v>
      </c>
      <c r="B124" s="11">
        <f t="shared" si="13"/>
        <v>983.16986417423732</v>
      </c>
      <c r="C124" s="11">
        <f t="shared" si="14"/>
        <v>911.23060582002495</v>
      </c>
      <c r="D124" s="11">
        <f t="shared" si="15"/>
        <v>71.93925835421237</v>
      </c>
      <c r="E124" s="12">
        <f t="shared" si="16"/>
        <v>41880</v>
      </c>
      <c r="F124" s="12">
        <f t="shared" si="17"/>
        <v>8800</v>
      </c>
      <c r="G124" s="12">
        <f t="shared" si="18"/>
        <v>19397.7292904553</v>
      </c>
      <c r="H124" s="12">
        <f t="shared" si="19"/>
        <v>28197.7292904553</v>
      </c>
      <c r="I124" s="12">
        <f t="shared" si="20"/>
        <v>1859.3460456430685</v>
      </c>
      <c r="J124" s="12">
        <f t="shared" si="21"/>
        <v>2094</v>
      </c>
      <c r="K124" s="12">
        <f t="shared" si="22"/>
        <v>13682.2707095447</v>
      </c>
      <c r="L124" s="12">
        <f t="shared" si="23"/>
        <v>29568.921253024953</v>
      </c>
      <c r="M124" s="12">
        <f t="shared" si="24"/>
        <v>28319.975795486545</v>
      </c>
      <c r="N124" s="12">
        <f t="shared" si="25"/>
        <v>1688.9454575384079</v>
      </c>
    </row>
    <row r="126" spans="1:14" x14ac:dyDescent="0.2">
      <c r="A126" s="17" t="s">
        <v>156</v>
      </c>
    </row>
    <row r="127" spans="1:14" ht="48" x14ac:dyDescent="0.2">
      <c r="A127" s="4" t="s">
        <v>141</v>
      </c>
      <c r="B127" s="4" t="s">
        <v>142</v>
      </c>
      <c r="C127" s="4" t="s">
        <v>143</v>
      </c>
      <c r="D127" s="4" t="s">
        <v>144</v>
      </c>
      <c r="E127" s="4" t="s">
        <v>145</v>
      </c>
      <c r="F127" s="4" t="s">
        <v>146</v>
      </c>
      <c r="G127" s="4" t="s">
        <v>147</v>
      </c>
      <c r="H127" s="4" t="s">
        <v>148</v>
      </c>
      <c r="I127" s="4" t="s">
        <v>149</v>
      </c>
      <c r="J127" s="4" t="s">
        <v>150</v>
      </c>
      <c r="K127" s="4" t="s">
        <v>151</v>
      </c>
      <c r="L127" s="4" t="s">
        <v>152</v>
      </c>
      <c r="M127" s="4" t="s">
        <v>153</v>
      </c>
      <c r="N127" s="4" t="s">
        <v>154</v>
      </c>
    </row>
    <row r="128" spans="1:14" x14ac:dyDescent="0.2">
      <c r="A128" s="16">
        <v>1</v>
      </c>
      <c r="B128" s="11">
        <f t="shared" ref="B128:B157" si="26">SCHED_Q_MESCLUN*BASE_HRS_MESCLUN*SEASON_WEEKS*(1+DIM_RATE_MESCLUN)^SCHED_Q_MESCLUN</f>
        <v>45.5625</v>
      </c>
      <c r="C128" s="11">
        <f t="shared" ref="C128:C157" si="27">(SCHED_Q_MESCLUN-1)*BASE_HRS_MESCLUN*SEASON_WEEKS*(1+DIM_RATE_MESCLUN)^(SCHED_Q_MESCLUN-1)</f>
        <v>0</v>
      </c>
      <c r="D128" s="11">
        <f t="shared" ref="D128:D157" si="28">SCHED_LABOR_HRS_MESCLUN-SCHED_LABOR_HRS_PREV_MESCLUN</f>
        <v>45.5625</v>
      </c>
      <c r="E128" s="12">
        <f t="shared" ref="E128:E157" si="29">SCHED_Q_MESCLUN*REV_PER_BED_MESCLUN</f>
        <v>2700</v>
      </c>
      <c r="F128" s="12">
        <f t="shared" ref="F128:F157" si="30">SCHED_Q_MESCLUN*FERT_PER_BED_MESCLUN</f>
        <v>880</v>
      </c>
      <c r="G128" s="12">
        <f t="shared" ref="G128:G157" si="31">SCHED_LABOR_HRS_MESCLUN*BLENDED_LABOR_RATE</f>
        <v>898.93829438993157</v>
      </c>
      <c r="H128" s="12">
        <f t="shared" ref="H128:H157" si="32">SCHED_FERT_COST_MESCLUN+SCHED_CROP_LABOR_COST_MESCLUN</f>
        <v>1778.9382943899316</v>
      </c>
      <c r="I128" s="12">
        <f t="shared" ref="I128:I157" si="33">FERT_PER_BED_MESCLUN+(SCHED_MARGINAL_LABOR_HRS_MESCLUN*BLENDED_LABOR_RATE)</f>
        <v>1778.9382943899316</v>
      </c>
      <c r="J128" s="12">
        <f t="shared" ref="J128:J157" si="34">REV_PER_BED_MESCLUN</f>
        <v>2700</v>
      </c>
      <c r="K128" s="12">
        <f t="shared" ref="K128:K157" si="35">SCHED_CROP_REVENUE_MESCLUN-SCHED_CROP_TVC_MESCLUN</f>
        <v>921.06170561006843</v>
      </c>
      <c r="L128" s="12">
        <f t="shared" ref="L128:L157" si="36">IF(SCHED_LABOR_HRS_MESCLUN&lt;=OWNER_MAX_HRS,SCHED_LABOR_HRS_MESCLUN*OWNER_HOURLY_RATE,OWNER_MAX_HRS*OWNER_HOURLY_RATE+(SCHED_LABOR_HRS_MESCLUN-OWNER_MAX_HRS)*TEMP_HOURLY_RATE)</f>
        <v>1582.03125</v>
      </c>
      <c r="M128" s="12">
        <f t="shared" ref="M128:M157" si="37">IF(SCHED_LABOR_HRS_PREV_MESCLUN&lt;=OWNER_MAX_HRS,SCHED_LABOR_HRS_PREV_MESCLUN*OWNER_HOURLY_RATE,OWNER_MAX_HRS*OWNER_HOURLY_RATE+(SCHED_LABOR_HRS_PREV_MESCLUN-OWNER_MAX_HRS)*TEMP_HOURLY_RATE)</f>
        <v>0</v>
      </c>
      <c r="N128" s="12">
        <f t="shared" ref="N128:N157" si="38">FERT_PER_BED_MESCLUN+SCHED_SA_LABOR_COST_MESCLUN-SCHED_SA_LABOR_COST_PREV_MESCLUN</f>
        <v>2462.03125</v>
      </c>
    </row>
    <row r="129" spans="1:14" x14ac:dyDescent="0.2">
      <c r="A129" s="16">
        <v>2</v>
      </c>
      <c r="B129" s="11">
        <f t="shared" si="26"/>
        <v>92.264062499999994</v>
      </c>
      <c r="C129" s="11">
        <f t="shared" si="27"/>
        <v>45.5625</v>
      </c>
      <c r="D129" s="11">
        <f t="shared" si="28"/>
        <v>46.701562499999994</v>
      </c>
      <c r="E129" s="12">
        <f t="shared" si="29"/>
        <v>5400</v>
      </c>
      <c r="F129" s="12">
        <f t="shared" si="30"/>
        <v>1760</v>
      </c>
      <c r="G129" s="12">
        <f t="shared" si="31"/>
        <v>1820.3500461396113</v>
      </c>
      <c r="H129" s="12">
        <f t="shared" si="32"/>
        <v>3580.3500461396115</v>
      </c>
      <c r="I129" s="12">
        <f t="shared" si="33"/>
        <v>1801.4117517496798</v>
      </c>
      <c r="J129" s="12">
        <f t="shared" si="34"/>
        <v>2700</v>
      </c>
      <c r="K129" s="12">
        <f t="shared" si="35"/>
        <v>1819.6499538603885</v>
      </c>
      <c r="L129" s="12">
        <f t="shared" si="36"/>
        <v>3203.6132812499995</v>
      </c>
      <c r="M129" s="12">
        <f t="shared" si="37"/>
        <v>1582.03125</v>
      </c>
      <c r="N129" s="12">
        <f t="shared" si="38"/>
        <v>2501.5820312499995</v>
      </c>
    </row>
    <row r="130" spans="1:14" x14ac:dyDescent="0.2">
      <c r="A130" s="16">
        <v>3</v>
      </c>
      <c r="B130" s="11">
        <f t="shared" si="26"/>
        <v>140.12604492187498</v>
      </c>
      <c r="C130" s="11">
        <f t="shared" si="27"/>
        <v>92.264062499999994</v>
      </c>
      <c r="D130" s="11">
        <f t="shared" si="28"/>
        <v>47.861982421874984</v>
      </c>
      <c r="E130" s="12">
        <f t="shared" si="29"/>
        <v>8100</v>
      </c>
      <c r="F130" s="12">
        <f t="shared" si="30"/>
        <v>2640</v>
      </c>
      <c r="G130" s="12">
        <f t="shared" si="31"/>
        <v>2764.6566325745343</v>
      </c>
      <c r="H130" s="12">
        <f t="shared" si="32"/>
        <v>5404.6566325745343</v>
      </c>
      <c r="I130" s="12">
        <f t="shared" si="33"/>
        <v>1824.3065864349232</v>
      </c>
      <c r="J130" s="12">
        <f t="shared" si="34"/>
        <v>2700</v>
      </c>
      <c r="K130" s="12">
        <f t="shared" si="35"/>
        <v>2695.3433674254657</v>
      </c>
      <c r="L130" s="12">
        <f t="shared" si="36"/>
        <v>4865.4876708984366</v>
      </c>
      <c r="M130" s="12">
        <f t="shared" si="37"/>
        <v>3203.6132812499995</v>
      </c>
      <c r="N130" s="12">
        <f t="shared" si="38"/>
        <v>2541.874389648437</v>
      </c>
    </row>
    <row r="131" spans="1:14" x14ac:dyDescent="0.2">
      <c r="A131" s="16">
        <v>4</v>
      </c>
      <c r="B131" s="11">
        <f t="shared" si="26"/>
        <v>189.17016064453125</v>
      </c>
      <c r="C131" s="11">
        <f t="shared" si="27"/>
        <v>140.12604492187498</v>
      </c>
      <c r="D131" s="11">
        <f t="shared" si="28"/>
        <v>49.044115722656272</v>
      </c>
      <c r="E131" s="12">
        <f t="shared" si="29"/>
        <v>10800</v>
      </c>
      <c r="F131" s="12">
        <f t="shared" si="30"/>
        <v>3520</v>
      </c>
      <c r="G131" s="12">
        <f t="shared" si="31"/>
        <v>3732.286453975622</v>
      </c>
      <c r="H131" s="12">
        <f t="shared" si="32"/>
        <v>7252.286453975622</v>
      </c>
      <c r="I131" s="12">
        <f t="shared" si="33"/>
        <v>1847.6298214010876</v>
      </c>
      <c r="J131" s="12">
        <f t="shared" si="34"/>
        <v>2700</v>
      </c>
      <c r="K131" s="12">
        <f t="shared" si="35"/>
        <v>3547.713546024378</v>
      </c>
      <c r="L131" s="12">
        <f t="shared" si="36"/>
        <v>6568.4083557128906</v>
      </c>
      <c r="M131" s="12">
        <f t="shared" si="37"/>
        <v>4865.4876708984366</v>
      </c>
      <c r="N131" s="12">
        <f t="shared" si="38"/>
        <v>2582.920684814454</v>
      </c>
    </row>
    <row r="132" spans="1:14" x14ac:dyDescent="0.2">
      <c r="A132" s="16">
        <v>5</v>
      </c>
      <c r="B132" s="11">
        <f t="shared" si="26"/>
        <v>239.41848456573481</v>
      </c>
      <c r="C132" s="11">
        <f t="shared" si="27"/>
        <v>189.17016064453125</v>
      </c>
      <c r="D132" s="11">
        <f t="shared" si="28"/>
        <v>50.248323921203564</v>
      </c>
      <c r="E132" s="12">
        <f t="shared" si="29"/>
        <v>13500</v>
      </c>
      <c r="F132" s="12">
        <f t="shared" si="30"/>
        <v>4400</v>
      </c>
      <c r="G132" s="12">
        <f t="shared" si="31"/>
        <v>4723.6750433128955</v>
      </c>
      <c r="H132" s="12">
        <f t="shared" si="32"/>
        <v>9123.6750433128946</v>
      </c>
      <c r="I132" s="12">
        <f t="shared" si="33"/>
        <v>1871.3885893372735</v>
      </c>
      <c r="J132" s="12">
        <f t="shared" si="34"/>
        <v>2700</v>
      </c>
      <c r="K132" s="12">
        <f t="shared" si="35"/>
        <v>4376.3249566871054</v>
      </c>
      <c r="L132" s="12">
        <f t="shared" si="36"/>
        <v>8313.1418251991254</v>
      </c>
      <c r="M132" s="12">
        <f t="shared" si="37"/>
        <v>6568.4083557128906</v>
      </c>
      <c r="N132" s="12">
        <f t="shared" si="38"/>
        <v>2624.7334694862348</v>
      </c>
    </row>
    <row r="133" spans="1:14" x14ac:dyDescent="0.2">
      <c r="A133" s="16">
        <v>6</v>
      </c>
      <c r="B133" s="11">
        <f t="shared" si="26"/>
        <v>290.89345874736784</v>
      </c>
      <c r="C133" s="11">
        <f t="shared" si="27"/>
        <v>239.41848456573481</v>
      </c>
      <c r="D133" s="11">
        <f t="shared" si="28"/>
        <v>51.47497418163303</v>
      </c>
      <c r="E133" s="12">
        <f t="shared" si="29"/>
        <v>16200</v>
      </c>
      <c r="F133" s="12">
        <f t="shared" si="30"/>
        <v>5280</v>
      </c>
      <c r="G133" s="12">
        <f t="shared" si="31"/>
        <v>5739.2651776251687</v>
      </c>
      <c r="H133" s="12">
        <f t="shared" si="32"/>
        <v>11019.26517762517</v>
      </c>
      <c r="I133" s="12">
        <f t="shared" si="33"/>
        <v>1895.5901343122734</v>
      </c>
      <c r="J133" s="12">
        <f t="shared" si="34"/>
        <v>2700</v>
      </c>
      <c r="K133" s="12">
        <f t="shared" si="35"/>
        <v>5180.7348223748304</v>
      </c>
      <c r="L133" s="12">
        <f t="shared" si="36"/>
        <v>10100.467317616938</v>
      </c>
      <c r="M133" s="12">
        <f t="shared" si="37"/>
        <v>8313.1418251991254</v>
      </c>
      <c r="N133" s="12">
        <f t="shared" si="38"/>
        <v>2667.3254924178127</v>
      </c>
    </row>
    <row r="134" spans="1:14" x14ac:dyDescent="0.2">
      <c r="A134" s="16">
        <v>7</v>
      </c>
      <c r="B134" s="11">
        <f t="shared" si="26"/>
        <v>343.61789814532818</v>
      </c>
      <c r="C134" s="11">
        <f t="shared" si="27"/>
        <v>290.89345874736784</v>
      </c>
      <c r="D134" s="11">
        <f t="shared" si="28"/>
        <v>52.724439397960339</v>
      </c>
      <c r="E134" s="12">
        <f t="shared" si="29"/>
        <v>18900</v>
      </c>
      <c r="F134" s="12">
        <f t="shared" si="30"/>
        <v>6160</v>
      </c>
      <c r="G134" s="12">
        <f t="shared" si="31"/>
        <v>6779.5069910697293</v>
      </c>
      <c r="H134" s="12">
        <f t="shared" si="32"/>
        <v>12939.506991069729</v>
      </c>
      <c r="I134" s="12">
        <f t="shared" si="33"/>
        <v>1920.2418134445602</v>
      </c>
      <c r="J134" s="12">
        <f t="shared" si="34"/>
        <v>2700</v>
      </c>
      <c r="K134" s="12">
        <f t="shared" si="35"/>
        <v>5960.4930089302707</v>
      </c>
      <c r="L134" s="12">
        <f t="shared" si="36"/>
        <v>11931.177018935006</v>
      </c>
      <c r="M134" s="12">
        <f t="shared" si="37"/>
        <v>10100.467317616938</v>
      </c>
      <c r="N134" s="12">
        <f t="shared" si="38"/>
        <v>2710.7097013180683</v>
      </c>
    </row>
    <row r="135" spans="1:14" x14ac:dyDescent="0.2">
      <c r="A135" s="16">
        <v>8</v>
      </c>
      <c r="B135" s="11">
        <f t="shared" si="26"/>
        <v>397.61499642530839</v>
      </c>
      <c r="C135" s="11">
        <f t="shared" si="27"/>
        <v>343.61789814532818</v>
      </c>
      <c r="D135" s="11">
        <f t="shared" si="28"/>
        <v>53.997098279980207</v>
      </c>
      <c r="E135" s="12">
        <f t="shared" si="29"/>
        <v>21600</v>
      </c>
      <c r="F135" s="12">
        <f t="shared" si="30"/>
        <v>7040</v>
      </c>
      <c r="G135" s="12">
        <f t="shared" si="31"/>
        <v>7844.8580896664025</v>
      </c>
      <c r="H135" s="12">
        <f t="shared" si="32"/>
        <v>14884.858089666403</v>
      </c>
      <c r="I135" s="12">
        <f t="shared" si="33"/>
        <v>1945.351098596673</v>
      </c>
      <c r="J135" s="12">
        <f t="shared" si="34"/>
        <v>2700</v>
      </c>
      <c r="K135" s="12">
        <f t="shared" si="35"/>
        <v>6715.1419103335975</v>
      </c>
      <c r="L135" s="12">
        <f t="shared" si="36"/>
        <v>13806.076264767653</v>
      </c>
      <c r="M135" s="12">
        <f t="shared" si="37"/>
        <v>11931.177018935006</v>
      </c>
      <c r="N135" s="12">
        <f t="shared" si="38"/>
        <v>2754.8992458326466</v>
      </c>
    </row>
    <row r="136" spans="1:14" x14ac:dyDescent="0.2">
      <c r="A136" s="16">
        <v>9</v>
      </c>
      <c r="B136" s="11">
        <f t="shared" si="26"/>
        <v>452.90833186570285</v>
      </c>
      <c r="C136" s="11">
        <f t="shared" si="27"/>
        <v>397.61499642530839</v>
      </c>
      <c r="D136" s="11">
        <f t="shared" si="28"/>
        <v>55.293335440394458</v>
      </c>
      <c r="E136" s="12">
        <f t="shared" si="29"/>
        <v>24300</v>
      </c>
      <c r="F136" s="12">
        <f t="shared" si="30"/>
        <v>7920</v>
      </c>
      <c r="G136" s="12">
        <f t="shared" si="31"/>
        <v>8935.7836677606374</v>
      </c>
      <c r="H136" s="12">
        <f t="shared" si="32"/>
        <v>16855.783667760639</v>
      </c>
      <c r="I136" s="12">
        <f t="shared" si="33"/>
        <v>1970.9255780942342</v>
      </c>
      <c r="J136" s="12">
        <f t="shared" si="34"/>
        <v>2700</v>
      </c>
      <c r="K136" s="12">
        <f t="shared" si="35"/>
        <v>7444.2163322393608</v>
      </c>
      <c r="L136" s="12">
        <f t="shared" si="36"/>
        <v>15725.983745336904</v>
      </c>
      <c r="M136" s="12">
        <f t="shared" si="37"/>
        <v>13806.076264767653</v>
      </c>
      <c r="N136" s="12">
        <f t="shared" si="38"/>
        <v>2799.9074805692508</v>
      </c>
    </row>
    <row r="137" spans="1:14" x14ac:dyDescent="0.2">
      <c r="A137" s="16">
        <v>10</v>
      </c>
      <c r="B137" s="11">
        <f t="shared" si="26"/>
        <v>509.52187334891573</v>
      </c>
      <c r="C137" s="11">
        <f t="shared" si="27"/>
        <v>452.90833186570285</v>
      </c>
      <c r="D137" s="11">
        <f t="shared" si="28"/>
        <v>56.613541483212884</v>
      </c>
      <c r="E137" s="12">
        <f t="shared" si="29"/>
        <v>27000</v>
      </c>
      <c r="F137" s="12">
        <f t="shared" si="30"/>
        <v>8800</v>
      </c>
      <c r="G137" s="12">
        <f t="shared" si="31"/>
        <v>10052.756626230717</v>
      </c>
      <c r="H137" s="12">
        <f t="shared" si="32"/>
        <v>18852.756626230715</v>
      </c>
      <c r="I137" s="12">
        <f t="shared" si="33"/>
        <v>1996.9729584700801</v>
      </c>
      <c r="J137" s="12">
        <f t="shared" si="34"/>
        <v>2700</v>
      </c>
      <c r="K137" s="12">
        <f t="shared" si="35"/>
        <v>8147.2433737692845</v>
      </c>
      <c r="L137" s="12">
        <f t="shared" si="36"/>
        <v>17691.731713504018</v>
      </c>
      <c r="M137" s="12">
        <f t="shared" si="37"/>
        <v>15725.983745336904</v>
      </c>
      <c r="N137" s="12">
        <f t="shared" si="38"/>
        <v>2845.7479681671139</v>
      </c>
    </row>
    <row r="138" spans="1:14" x14ac:dyDescent="0.2">
      <c r="A138" s="16">
        <v>11</v>
      </c>
      <c r="B138" s="11">
        <f t="shared" si="26"/>
        <v>567.47998644235474</v>
      </c>
      <c r="C138" s="11">
        <f t="shared" si="27"/>
        <v>509.52187334891573</v>
      </c>
      <c r="D138" s="11">
        <f t="shared" si="28"/>
        <v>57.95811309343901</v>
      </c>
      <c r="E138" s="12">
        <f t="shared" si="29"/>
        <v>29700</v>
      </c>
      <c r="F138" s="12">
        <f t="shared" si="30"/>
        <v>9680</v>
      </c>
      <c r="G138" s="12">
        <f t="shared" si="31"/>
        <v>11196.257692464458</v>
      </c>
      <c r="H138" s="12">
        <f t="shared" si="32"/>
        <v>20876.25769246446</v>
      </c>
      <c r="I138" s="12">
        <f t="shared" si="33"/>
        <v>2023.5010662337411</v>
      </c>
      <c r="J138" s="12">
        <f t="shared" si="34"/>
        <v>2700</v>
      </c>
      <c r="K138" s="12">
        <f t="shared" si="35"/>
        <v>8823.74230753554</v>
      </c>
      <c r="L138" s="12">
        <f t="shared" si="36"/>
        <v>19704.166195915095</v>
      </c>
      <c r="M138" s="12">
        <f t="shared" si="37"/>
        <v>17691.731713504018</v>
      </c>
      <c r="N138" s="12">
        <f t="shared" si="38"/>
        <v>2892.4344824110776</v>
      </c>
    </row>
    <row r="139" spans="1:14" x14ac:dyDescent="0.2">
      <c r="A139" s="16">
        <v>12</v>
      </c>
      <c r="B139" s="11">
        <f t="shared" si="26"/>
        <v>626.80743957041921</v>
      </c>
      <c r="C139" s="11">
        <f t="shared" si="27"/>
        <v>567.47998644235474</v>
      </c>
      <c r="D139" s="11">
        <f t="shared" si="28"/>
        <v>59.327453128064462</v>
      </c>
      <c r="E139" s="12">
        <f t="shared" si="29"/>
        <v>32400</v>
      </c>
      <c r="F139" s="12">
        <f t="shared" si="30"/>
        <v>10560</v>
      </c>
      <c r="G139" s="12">
        <f t="shared" si="31"/>
        <v>12366.775542131199</v>
      </c>
      <c r="H139" s="12">
        <f t="shared" si="32"/>
        <v>22926.775542131199</v>
      </c>
      <c r="I139" s="12">
        <f t="shared" si="33"/>
        <v>2050.5178496667409</v>
      </c>
      <c r="J139" s="12">
        <f t="shared" si="34"/>
        <v>2700</v>
      </c>
      <c r="K139" s="12">
        <f t="shared" si="35"/>
        <v>9473.2244578688005</v>
      </c>
      <c r="L139" s="12">
        <f t="shared" si="36"/>
        <v>21764.147207306221</v>
      </c>
      <c r="M139" s="12">
        <f t="shared" si="37"/>
        <v>19704.166195915095</v>
      </c>
      <c r="N139" s="12">
        <f t="shared" si="38"/>
        <v>2939.9810113911262</v>
      </c>
    </row>
    <row r="140" spans="1:14" x14ac:dyDescent="0.2">
      <c r="A140" s="16">
        <v>13</v>
      </c>
      <c r="B140" s="11">
        <f t="shared" si="26"/>
        <v>687.52941027880343</v>
      </c>
      <c r="C140" s="11">
        <f t="shared" si="27"/>
        <v>626.80743957041921</v>
      </c>
      <c r="D140" s="11">
        <f t="shared" si="28"/>
        <v>60.72197070838422</v>
      </c>
      <c r="E140" s="12">
        <f t="shared" si="29"/>
        <v>35100</v>
      </c>
      <c r="F140" s="12">
        <f t="shared" si="30"/>
        <v>11440</v>
      </c>
      <c r="G140" s="12">
        <f t="shared" si="31"/>
        <v>13564.806922775155</v>
      </c>
      <c r="H140" s="12">
        <f t="shared" si="32"/>
        <v>25004.806922775155</v>
      </c>
      <c r="I140" s="12">
        <f t="shared" si="33"/>
        <v>2078.0313806439572</v>
      </c>
      <c r="J140" s="12">
        <f t="shared" si="34"/>
        <v>2700</v>
      </c>
      <c r="K140" s="12">
        <f t="shared" si="35"/>
        <v>10095.193077224845</v>
      </c>
      <c r="L140" s="12">
        <f t="shared" si="36"/>
        <v>23872.548968014009</v>
      </c>
      <c r="M140" s="12">
        <f t="shared" si="37"/>
        <v>21764.147207306221</v>
      </c>
      <c r="N140" s="12">
        <f t="shared" si="38"/>
        <v>2988.4017607077876</v>
      </c>
    </row>
    <row r="141" spans="1:14" x14ac:dyDescent="0.2">
      <c r="A141" s="16">
        <v>14</v>
      </c>
      <c r="B141" s="11">
        <f t="shared" si="26"/>
        <v>749.67149159246469</v>
      </c>
      <c r="C141" s="11">
        <f t="shared" si="27"/>
        <v>687.52941027880343</v>
      </c>
      <c r="D141" s="11">
        <f t="shared" si="28"/>
        <v>62.142081313661265</v>
      </c>
      <c r="E141" s="12">
        <f t="shared" si="29"/>
        <v>37800</v>
      </c>
      <c r="F141" s="12">
        <f t="shared" si="30"/>
        <v>12320</v>
      </c>
      <c r="G141" s="12">
        <f t="shared" si="31"/>
        <v>14790.856779256759</v>
      </c>
      <c r="H141" s="12">
        <f t="shared" si="32"/>
        <v>27110.856779256759</v>
      </c>
      <c r="I141" s="12">
        <f t="shared" si="33"/>
        <v>2106.0498564816044</v>
      </c>
      <c r="J141" s="12">
        <f t="shared" si="34"/>
        <v>2700</v>
      </c>
      <c r="K141" s="12">
        <f t="shared" si="35"/>
        <v>10689.143220743241</v>
      </c>
      <c r="L141" s="12">
        <f t="shared" si="36"/>
        <v>25515.130062369179</v>
      </c>
      <c r="M141" s="12">
        <f t="shared" si="37"/>
        <v>23872.548968014009</v>
      </c>
      <c r="N141" s="12">
        <f t="shared" si="38"/>
        <v>2522.5810943551696</v>
      </c>
    </row>
    <row r="142" spans="1:14" x14ac:dyDescent="0.2">
      <c r="A142" s="16">
        <v>15</v>
      </c>
      <c r="B142" s="11">
        <f t="shared" si="26"/>
        <v>813.25969846861108</v>
      </c>
      <c r="C142" s="11">
        <f t="shared" si="27"/>
        <v>749.67149159246469</v>
      </c>
      <c r="D142" s="11">
        <f t="shared" si="28"/>
        <v>63.588206876146387</v>
      </c>
      <c r="E142" s="12">
        <f t="shared" si="29"/>
        <v>40500</v>
      </c>
      <c r="F142" s="12">
        <f t="shared" si="30"/>
        <v>13200</v>
      </c>
      <c r="G142" s="12">
        <f t="shared" si="31"/>
        <v>16045.438381068714</v>
      </c>
      <c r="H142" s="12">
        <f t="shared" si="32"/>
        <v>29245.438381068714</v>
      </c>
      <c r="I142" s="12">
        <f t="shared" si="33"/>
        <v>2134.581601811954</v>
      </c>
      <c r="J142" s="12">
        <f t="shared" si="34"/>
        <v>2700</v>
      </c>
      <c r="K142" s="12">
        <f t="shared" si="35"/>
        <v>11254.561618931286</v>
      </c>
      <c r="L142" s="12">
        <f t="shared" si="36"/>
        <v>26619.091987302276</v>
      </c>
      <c r="M142" s="12">
        <f t="shared" si="37"/>
        <v>25515.130062369179</v>
      </c>
      <c r="N142" s="12">
        <f t="shared" si="38"/>
        <v>1983.9619249330972</v>
      </c>
    </row>
    <row r="143" spans="1:14" x14ac:dyDescent="0.2">
      <c r="A143" s="16">
        <v>16</v>
      </c>
      <c r="B143" s="11">
        <f t="shared" si="26"/>
        <v>878.32047434610013</v>
      </c>
      <c r="C143" s="11">
        <f t="shared" si="27"/>
        <v>813.25969846861108</v>
      </c>
      <c r="D143" s="11">
        <f t="shared" si="28"/>
        <v>65.06077587748905</v>
      </c>
      <c r="E143" s="12">
        <f t="shared" si="29"/>
        <v>43200</v>
      </c>
      <c r="F143" s="12">
        <f t="shared" si="30"/>
        <v>14080</v>
      </c>
      <c r="G143" s="12">
        <f t="shared" si="31"/>
        <v>17329.073451554214</v>
      </c>
      <c r="H143" s="12">
        <f t="shared" si="32"/>
        <v>31409.073451554214</v>
      </c>
      <c r="I143" s="12">
        <f t="shared" si="33"/>
        <v>2163.6350704855004</v>
      </c>
      <c r="J143" s="12">
        <f t="shared" si="34"/>
        <v>2700</v>
      </c>
      <c r="K143" s="12">
        <f t="shared" si="35"/>
        <v>11790.926548445786</v>
      </c>
      <c r="L143" s="12">
        <f t="shared" si="36"/>
        <v>27748.619346286461</v>
      </c>
      <c r="M143" s="12">
        <f t="shared" si="37"/>
        <v>26619.091987302276</v>
      </c>
      <c r="N143" s="12">
        <f t="shared" si="38"/>
        <v>2009.5273589841854</v>
      </c>
    </row>
    <row r="144" spans="1:14" x14ac:dyDescent="0.2">
      <c r="A144" s="16">
        <v>17</v>
      </c>
      <c r="B144" s="11">
        <f t="shared" si="26"/>
        <v>944.88069779264049</v>
      </c>
      <c r="C144" s="11">
        <f t="shared" si="27"/>
        <v>878.32047434610013</v>
      </c>
      <c r="D144" s="11">
        <f t="shared" si="28"/>
        <v>66.560223446540363</v>
      </c>
      <c r="E144" s="12">
        <f t="shared" si="29"/>
        <v>45900</v>
      </c>
      <c r="F144" s="12">
        <f t="shared" si="30"/>
        <v>14960</v>
      </c>
      <c r="G144" s="12">
        <f t="shared" si="31"/>
        <v>18642.292299054807</v>
      </c>
      <c r="H144" s="12">
        <f t="shared" si="32"/>
        <v>33602.29229905481</v>
      </c>
      <c r="I144" s="12">
        <f t="shared" si="33"/>
        <v>2193.2188475005923</v>
      </c>
      <c r="J144" s="12">
        <f t="shared" si="34"/>
        <v>2700</v>
      </c>
      <c r="K144" s="12">
        <f t="shared" si="35"/>
        <v>12297.70770094519</v>
      </c>
      <c r="L144" s="12">
        <f t="shared" si="36"/>
        <v>28904.178781122231</v>
      </c>
      <c r="M144" s="12">
        <f t="shared" si="37"/>
        <v>27748.619346286461</v>
      </c>
      <c r="N144" s="12">
        <f t="shared" si="38"/>
        <v>2035.5594348357699</v>
      </c>
    </row>
    <row r="145" spans="1:14" x14ac:dyDescent="0.2">
      <c r="A145" s="16">
        <v>18</v>
      </c>
      <c r="B145" s="11">
        <f t="shared" si="26"/>
        <v>1012.9676892512279</v>
      </c>
      <c r="C145" s="11">
        <f t="shared" si="27"/>
        <v>944.88069779264049</v>
      </c>
      <c r="D145" s="11">
        <f t="shared" si="28"/>
        <v>68.086991458587363</v>
      </c>
      <c r="E145" s="12">
        <f t="shared" si="29"/>
        <v>48600</v>
      </c>
      <c r="F145" s="12">
        <f t="shared" si="30"/>
        <v>15840</v>
      </c>
      <c r="G145" s="12">
        <f t="shared" si="31"/>
        <v>19985.633950016108</v>
      </c>
      <c r="H145" s="12">
        <f t="shared" si="32"/>
        <v>35825.633950016112</v>
      </c>
      <c r="I145" s="12">
        <f t="shared" si="33"/>
        <v>2223.3416509613025</v>
      </c>
      <c r="J145" s="12">
        <f t="shared" si="34"/>
        <v>2700</v>
      </c>
      <c r="K145" s="12">
        <f t="shared" si="35"/>
        <v>12774.366049983888</v>
      </c>
      <c r="L145" s="12">
        <f t="shared" si="36"/>
        <v>30086.244605056039</v>
      </c>
      <c r="M145" s="12">
        <f t="shared" si="37"/>
        <v>28904.178781122231</v>
      </c>
      <c r="N145" s="12">
        <f t="shared" si="38"/>
        <v>2062.0658239338081</v>
      </c>
    </row>
    <row r="146" spans="1:14" x14ac:dyDescent="0.2">
      <c r="A146" s="16">
        <v>19</v>
      </c>
      <c r="B146" s="11">
        <f t="shared" si="26"/>
        <v>1082.6092178872495</v>
      </c>
      <c r="C146" s="11">
        <f t="shared" si="27"/>
        <v>1012.9676892512279</v>
      </c>
      <c r="D146" s="11">
        <f t="shared" si="28"/>
        <v>69.64152863602169</v>
      </c>
      <c r="E146" s="12">
        <f t="shared" si="29"/>
        <v>51300</v>
      </c>
      <c r="F146" s="12">
        <f t="shared" si="30"/>
        <v>16720</v>
      </c>
      <c r="G146" s="12">
        <f t="shared" si="31"/>
        <v>21359.646284079714</v>
      </c>
      <c r="H146" s="12">
        <f t="shared" si="32"/>
        <v>38079.646284079718</v>
      </c>
      <c r="I146" s="12">
        <f t="shared" si="33"/>
        <v>2254.0123340636028</v>
      </c>
      <c r="J146" s="12">
        <f t="shared" si="34"/>
        <v>2700</v>
      </c>
      <c r="K146" s="12">
        <f t="shared" si="35"/>
        <v>13220.353715920282</v>
      </c>
      <c r="L146" s="12">
        <f t="shared" si="36"/>
        <v>31295.298921653637</v>
      </c>
      <c r="M146" s="12">
        <f t="shared" si="37"/>
        <v>30086.244605056039</v>
      </c>
      <c r="N146" s="12">
        <f t="shared" si="38"/>
        <v>2089.0543165975978</v>
      </c>
    </row>
    <row r="147" spans="1:14" x14ac:dyDescent="0.2">
      <c r="A147" s="16">
        <v>20</v>
      </c>
      <c r="B147" s="11">
        <f t="shared" si="26"/>
        <v>1153.8335085377266</v>
      </c>
      <c r="C147" s="11">
        <f t="shared" si="27"/>
        <v>1082.6092178872495</v>
      </c>
      <c r="D147" s="11">
        <f t="shared" si="28"/>
        <v>71.224290650477087</v>
      </c>
      <c r="E147" s="12">
        <f t="shared" si="29"/>
        <v>54000</v>
      </c>
      <c r="F147" s="12">
        <f t="shared" si="30"/>
        <v>17600</v>
      </c>
      <c r="G147" s="12">
        <f t="shared" si="31"/>
        <v>22764.886171190221</v>
      </c>
      <c r="H147" s="12">
        <f t="shared" si="32"/>
        <v>40364.886171190221</v>
      </c>
      <c r="I147" s="12">
        <f t="shared" si="33"/>
        <v>2285.2398871105102</v>
      </c>
      <c r="J147" s="12">
        <f t="shared" si="34"/>
        <v>2700</v>
      </c>
      <c r="K147" s="12">
        <f t="shared" si="35"/>
        <v>13635.113828809779</v>
      </c>
      <c r="L147" s="12">
        <f t="shared" si="36"/>
        <v>32531.831745446641</v>
      </c>
      <c r="M147" s="12">
        <f t="shared" si="37"/>
        <v>31295.298921653637</v>
      </c>
      <c r="N147" s="12">
        <f t="shared" si="38"/>
        <v>2116.532823793008</v>
      </c>
    </row>
    <row r="148" spans="1:14" x14ac:dyDescent="0.2">
      <c r="A148" s="16">
        <v>21</v>
      </c>
      <c r="B148" s="11">
        <f t="shared" si="26"/>
        <v>1226.6692487641703</v>
      </c>
      <c r="C148" s="11">
        <f t="shared" si="27"/>
        <v>1153.8335085377266</v>
      </c>
      <c r="D148" s="11">
        <f t="shared" si="28"/>
        <v>72.835740226443704</v>
      </c>
      <c r="E148" s="12">
        <f t="shared" si="29"/>
        <v>56700</v>
      </c>
      <c r="F148" s="12">
        <f t="shared" si="30"/>
        <v>18480</v>
      </c>
      <c r="G148" s="12">
        <f t="shared" si="31"/>
        <v>24201.919610746598</v>
      </c>
      <c r="H148" s="12">
        <f t="shared" si="32"/>
        <v>42681.919610746598</v>
      </c>
      <c r="I148" s="12">
        <f t="shared" si="33"/>
        <v>2317.0334395563768</v>
      </c>
      <c r="J148" s="12">
        <f t="shared" si="34"/>
        <v>2700</v>
      </c>
      <c r="K148" s="12">
        <f t="shared" si="35"/>
        <v>14018.080389253402</v>
      </c>
      <c r="L148" s="12">
        <f t="shared" si="36"/>
        <v>33796.341124377956</v>
      </c>
      <c r="M148" s="12">
        <f t="shared" si="37"/>
        <v>32531.831745446641</v>
      </c>
      <c r="N148" s="12">
        <f t="shared" si="38"/>
        <v>2144.5093789313141</v>
      </c>
    </row>
    <row r="149" spans="1:14" x14ac:dyDescent="0.2">
      <c r="A149" s="16">
        <v>22</v>
      </c>
      <c r="B149" s="11">
        <f t="shared" si="26"/>
        <v>1301.1455960105666</v>
      </c>
      <c r="C149" s="11">
        <f t="shared" si="27"/>
        <v>1226.6692487641703</v>
      </c>
      <c r="D149" s="11">
        <f t="shared" si="28"/>
        <v>74.476347246396244</v>
      </c>
      <c r="E149" s="12">
        <f t="shared" si="29"/>
        <v>59400</v>
      </c>
      <c r="F149" s="12">
        <f t="shared" si="30"/>
        <v>19360</v>
      </c>
      <c r="G149" s="12">
        <f t="shared" si="31"/>
        <v>25671.321872827648</v>
      </c>
      <c r="H149" s="12">
        <f t="shared" si="32"/>
        <v>45031.321872827648</v>
      </c>
      <c r="I149" s="12">
        <f t="shared" si="33"/>
        <v>2349.4022620810474</v>
      </c>
      <c r="J149" s="12">
        <f t="shared" si="34"/>
        <v>2700</v>
      </c>
      <c r="K149" s="12">
        <f t="shared" si="35"/>
        <v>14368.678127172352</v>
      </c>
      <c r="L149" s="12">
        <f t="shared" si="36"/>
        <v>35089.333264072338</v>
      </c>
      <c r="M149" s="12">
        <f t="shared" si="37"/>
        <v>33796.341124377956</v>
      </c>
      <c r="N149" s="12">
        <f t="shared" si="38"/>
        <v>2172.9921396943828</v>
      </c>
    </row>
    <row r="150" spans="1:14" x14ac:dyDescent="0.2">
      <c r="A150" s="16">
        <v>23</v>
      </c>
      <c r="B150" s="11">
        <f t="shared" si="26"/>
        <v>1377.292184868003</v>
      </c>
      <c r="C150" s="11">
        <f t="shared" si="27"/>
        <v>1301.1455960105666</v>
      </c>
      <c r="D150" s="11">
        <f t="shared" si="28"/>
        <v>76.146588857436427</v>
      </c>
      <c r="E150" s="12">
        <f t="shared" si="29"/>
        <v>62100</v>
      </c>
      <c r="F150" s="12">
        <f t="shared" si="30"/>
        <v>20240</v>
      </c>
      <c r="G150" s="12">
        <f t="shared" si="31"/>
        <v>27173.677641521535</v>
      </c>
      <c r="H150" s="12">
        <f t="shared" si="32"/>
        <v>47413.677641521535</v>
      </c>
      <c r="I150" s="12">
        <f t="shared" si="33"/>
        <v>2382.355768693888</v>
      </c>
      <c r="J150" s="12">
        <f t="shared" si="34"/>
        <v>2700</v>
      </c>
      <c r="K150" s="12">
        <f t="shared" si="35"/>
        <v>14686.322358478465</v>
      </c>
      <c r="L150" s="12">
        <f t="shared" si="36"/>
        <v>36411.322653958385</v>
      </c>
      <c r="M150" s="12">
        <f t="shared" si="37"/>
        <v>35089.333264072338</v>
      </c>
      <c r="N150" s="12">
        <f t="shared" si="38"/>
        <v>2201.9893898860464</v>
      </c>
    </row>
    <row r="151" spans="1:14" x14ac:dyDescent="0.2">
      <c r="A151" s="16">
        <v>24</v>
      </c>
      <c r="B151" s="11">
        <f t="shared" si="26"/>
        <v>1455.1391344474989</v>
      </c>
      <c r="C151" s="11">
        <f t="shared" si="27"/>
        <v>1377.292184868003</v>
      </c>
      <c r="D151" s="11">
        <f t="shared" si="28"/>
        <v>77.846949579495913</v>
      </c>
      <c r="E151" s="12">
        <f t="shared" si="29"/>
        <v>64800</v>
      </c>
      <c r="F151" s="12">
        <f t="shared" si="30"/>
        <v>21120</v>
      </c>
      <c r="G151" s="12">
        <f t="shared" si="31"/>
        <v>28709.581160390146</v>
      </c>
      <c r="H151" s="12">
        <f t="shared" si="32"/>
        <v>49829.581160390146</v>
      </c>
      <c r="I151" s="12">
        <f t="shared" si="33"/>
        <v>2415.9035188686103</v>
      </c>
      <c r="J151" s="12">
        <f t="shared" si="34"/>
        <v>2700</v>
      </c>
      <c r="K151" s="12">
        <f t="shared" si="35"/>
        <v>14970.418839609854</v>
      </c>
      <c r="L151" s="12">
        <f t="shared" si="36"/>
        <v>37762.832195269075</v>
      </c>
      <c r="M151" s="12">
        <f t="shared" si="37"/>
        <v>36411.322653958385</v>
      </c>
      <c r="N151" s="12">
        <f t="shared" si="38"/>
        <v>2231.5095413106901</v>
      </c>
    </row>
    <row r="152" spans="1:14" x14ac:dyDescent="0.2">
      <c r="A152" s="16">
        <v>25</v>
      </c>
      <c r="B152" s="11">
        <f t="shared" si="26"/>
        <v>1534.7170558625965</v>
      </c>
      <c r="C152" s="11">
        <f t="shared" si="27"/>
        <v>1455.1391344474989</v>
      </c>
      <c r="D152" s="11">
        <f t="shared" si="28"/>
        <v>79.577921415097535</v>
      </c>
      <c r="E152" s="12">
        <f t="shared" si="29"/>
        <v>67500</v>
      </c>
      <c r="F152" s="12">
        <f t="shared" si="30"/>
        <v>22000</v>
      </c>
      <c r="G152" s="12">
        <f t="shared" si="31"/>
        <v>30279.636380098978</v>
      </c>
      <c r="H152" s="12">
        <f t="shared" si="32"/>
        <v>52279.636380098978</v>
      </c>
      <c r="I152" s="12">
        <f t="shared" si="33"/>
        <v>2450.0552197088346</v>
      </c>
      <c r="J152" s="12">
        <f t="shared" si="34"/>
        <v>2700</v>
      </c>
      <c r="K152" s="12">
        <f t="shared" si="35"/>
        <v>15220.363619901022</v>
      </c>
      <c r="L152" s="12">
        <f t="shared" si="36"/>
        <v>39144.393330947853</v>
      </c>
      <c r="M152" s="12">
        <f t="shared" si="37"/>
        <v>37762.832195269075</v>
      </c>
      <c r="N152" s="12">
        <f t="shared" si="38"/>
        <v>2261.5611356787776</v>
      </c>
    </row>
    <row r="153" spans="1:14" x14ac:dyDescent="0.2">
      <c r="A153" s="16">
        <v>26</v>
      </c>
      <c r="B153" s="11">
        <f t="shared" si="26"/>
        <v>1616.0570598233144</v>
      </c>
      <c r="C153" s="11">
        <f t="shared" si="27"/>
        <v>1534.7170558625965</v>
      </c>
      <c r="D153" s="11">
        <f t="shared" si="28"/>
        <v>81.340003960717922</v>
      </c>
      <c r="E153" s="12">
        <f t="shared" si="29"/>
        <v>70200</v>
      </c>
      <c r="F153" s="12">
        <f t="shared" si="30"/>
        <v>22880</v>
      </c>
      <c r="G153" s="12">
        <f t="shared" si="31"/>
        <v>31884.457108244231</v>
      </c>
      <c r="H153" s="12">
        <f t="shared" si="32"/>
        <v>54764.457108244227</v>
      </c>
      <c r="I153" s="12">
        <f t="shared" si="33"/>
        <v>2484.8207281452524</v>
      </c>
      <c r="J153" s="12">
        <f t="shared" si="34"/>
        <v>2700</v>
      </c>
      <c r="K153" s="12">
        <f t="shared" si="35"/>
        <v>15435.542891755773</v>
      </c>
      <c r="L153" s="12">
        <f t="shared" si="36"/>
        <v>40556.546177488097</v>
      </c>
      <c r="M153" s="12">
        <f t="shared" si="37"/>
        <v>39144.393330947853</v>
      </c>
      <c r="N153" s="12">
        <f t="shared" si="38"/>
        <v>2292.1528465402444</v>
      </c>
    </row>
    <row r="154" spans="1:14" x14ac:dyDescent="0.2">
      <c r="A154" s="16">
        <v>27</v>
      </c>
      <c r="B154" s="11">
        <f t="shared" si="26"/>
        <v>1699.1907643430709</v>
      </c>
      <c r="C154" s="11">
        <f t="shared" si="27"/>
        <v>1616.0570598233144</v>
      </c>
      <c r="D154" s="11">
        <f t="shared" si="28"/>
        <v>83.13370451975652</v>
      </c>
      <c r="E154" s="12">
        <f t="shared" si="29"/>
        <v>72900</v>
      </c>
      <c r="F154" s="12">
        <f t="shared" si="30"/>
        <v>23760</v>
      </c>
      <c r="G154" s="12">
        <f t="shared" si="31"/>
        <v>33524.66716140871</v>
      </c>
      <c r="H154" s="12">
        <f t="shared" si="32"/>
        <v>57284.66716140871</v>
      </c>
      <c r="I154" s="12">
        <f t="shared" si="33"/>
        <v>2520.2100531644764</v>
      </c>
      <c r="J154" s="12">
        <f t="shared" si="34"/>
        <v>2700</v>
      </c>
      <c r="K154" s="12">
        <f t="shared" si="35"/>
        <v>15615.33283859129</v>
      </c>
      <c r="L154" s="12">
        <f t="shared" si="36"/>
        <v>41999.839658733865</v>
      </c>
      <c r="M154" s="12">
        <f t="shared" si="37"/>
        <v>40556.546177488097</v>
      </c>
      <c r="N154" s="12">
        <f t="shared" si="38"/>
        <v>2323.2934812457679</v>
      </c>
    </row>
    <row r="155" spans="1:14" x14ac:dyDescent="0.2">
      <c r="A155" s="16">
        <v>28</v>
      </c>
      <c r="B155" s="11">
        <f t="shared" si="26"/>
        <v>1784.1503025602246</v>
      </c>
      <c r="C155" s="11">
        <f t="shared" si="27"/>
        <v>1699.1907643430709</v>
      </c>
      <c r="D155" s="11">
        <f t="shared" si="28"/>
        <v>84.959538217153749</v>
      </c>
      <c r="E155" s="12">
        <f t="shared" si="29"/>
        <v>75600</v>
      </c>
      <c r="F155" s="12">
        <f t="shared" si="30"/>
        <v>24640</v>
      </c>
      <c r="G155" s="12">
        <f t="shared" si="31"/>
        <v>35200.900519479146</v>
      </c>
      <c r="H155" s="12">
        <f t="shared" si="32"/>
        <v>59840.900519479146</v>
      </c>
      <c r="I155" s="12">
        <f t="shared" si="33"/>
        <v>2556.2333580704394</v>
      </c>
      <c r="J155" s="12">
        <f t="shared" si="34"/>
        <v>2700</v>
      </c>
      <c r="K155" s="12">
        <f t="shared" si="35"/>
        <v>15759.099480520854</v>
      </c>
      <c r="L155" s="12">
        <f t="shared" si="36"/>
        <v>43474.831641670564</v>
      </c>
      <c r="M155" s="12">
        <f t="shared" si="37"/>
        <v>41999.839658733865</v>
      </c>
      <c r="N155" s="12">
        <f t="shared" si="38"/>
        <v>2354.9919829366991</v>
      </c>
    </row>
    <row r="156" spans="1:14" x14ac:dyDescent="0.2">
      <c r="A156" s="16">
        <v>29</v>
      </c>
      <c r="B156" s="11">
        <f t="shared" si="26"/>
        <v>1870.9683306758782</v>
      </c>
      <c r="C156" s="11">
        <f t="shared" si="27"/>
        <v>1784.1503025602246</v>
      </c>
      <c r="D156" s="11">
        <f t="shared" si="28"/>
        <v>86.818028115653533</v>
      </c>
      <c r="E156" s="12">
        <f t="shared" si="29"/>
        <v>78300</v>
      </c>
      <c r="F156" s="12">
        <f t="shared" si="30"/>
        <v>25520</v>
      </c>
      <c r="G156" s="12">
        <f t="shared" si="31"/>
        <v>36913.801482257368</v>
      </c>
      <c r="H156" s="12">
        <f t="shared" si="32"/>
        <v>62433.801482257368</v>
      </c>
      <c r="I156" s="12">
        <f t="shared" si="33"/>
        <v>2592.9009627782216</v>
      </c>
      <c r="J156" s="12">
        <f t="shared" si="34"/>
        <v>2700</v>
      </c>
      <c r="K156" s="12">
        <f t="shared" si="35"/>
        <v>15866.198517742632</v>
      </c>
      <c r="L156" s="12">
        <f t="shared" si="36"/>
        <v>44982.089074233998</v>
      </c>
      <c r="M156" s="12">
        <f t="shared" si="37"/>
        <v>43474.831641670564</v>
      </c>
      <c r="N156" s="12">
        <f t="shared" si="38"/>
        <v>2387.2574325634341</v>
      </c>
    </row>
    <row r="157" spans="1:14" x14ac:dyDescent="0.2">
      <c r="A157" s="16">
        <v>30</v>
      </c>
      <c r="B157" s="11">
        <f t="shared" si="26"/>
        <v>1959.6780360096488</v>
      </c>
      <c r="C157" s="11">
        <f t="shared" si="27"/>
        <v>1870.9683306758782</v>
      </c>
      <c r="D157" s="11">
        <f t="shared" si="28"/>
        <v>88.709705333770671</v>
      </c>
      <c r="E157" s="12">
        <f t="shared" si="29"/>
        <v>81000</v>
      </c>
      <c r="F157" s="12">
        <f t="shared" si="30"/>
        <v>26400</v>
      </c>
      <c r="G157" s="12">
        <f t="shared" si="31"/>
        <v>38664.024828398891</v>
      </c>
      <c r="H157" s="12">
        <f t="shared" si="32"/>
        <v>65064.024828398891</v>
      </c>
      <c r="I157" s="12">
        <f t="shared" si="33"/>
        <v>2630.2233461415244</v>
      </c>
      <c r="J157" s="12">
        <f t="shared" si="34"/>
        <v>2700</v>
      </c>
      <c r="K157" s="12">
        <f t="shared" si="35"/>
        <v>15935.975171601109</v>
      </c>
      <c r="L157" s="12">
        <f t="shared" si="36"/>
        <v>46522.188125167515</v>
      </c>
      <c r="M157" s="12">
        <f t="shared" si="37"/>
        <v>44982.089074233998</v>
      </c>
      <c r="N157" s="12">
        <f t="shared" si="38"/>
        <v>2420.099050933517</v>
      </c>
    </row>
    <row r="159" spans="1:14" ht="16" x14ac:dyDescent="0.2">
      <c r="A159" s="2" t="s">
        <v>157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6" x14ac:dyDescent="0.2">
      <c r="A160" s="4" t="s">
        <v>158</v>
      </c>
      <c r="B160" s="4" t="s">
        <v>159</v>
      </c>
      <c r="C160" s="4"/>
      <c r="D160" s="4" t="s">
        <v>160</v>
      </c>
    </row>
    <row r="161" spans="1:4" x14ac:dyDescent="0.2">
      <c r="A161" t="s">
        <v>161</v>
      </c>
      <c r="B161" t="b">
        <f>AND(BEDS_TOMATOES=10,BEDS_CARROTS=20,BEDS_MESCLUN=30)</f>
        <v>1</v>
      </c>
      <c r="D161" t="s">
        <v>162</v>
      </c>
    </row>
    <row r="162" spans="1:4" x14ac:dyDescent="0.2">
      <c r="A162" t="s">
        <v>163</v>
      </c>
      <c r="B162" t="b">
        <f>ABS(NET_SEASON_PROFIT-42762)&lt;=1</f>
        <v>1</v>
      </c>
      <c r="D162" t="s">
        <v>164</v>
      </c>
    </row>
    <row r="163" spans="1:4" x14ac:dyDescent="0.2">
      <c r="A163" t="s">
        <v>165</v>
      </c>
      <c r="B163" t="b">
        <f>AND(ABS(STANDALONE_PMC_TOMATOES-10)&lt;=1,ABS(STANDALONE_PMC_CARROTS-10)&lt;=1,ABS(STANDALONE_PMC_MESCLUN-6)&lt;=1)</f>
        <v>1</v>
      </c>
      <c r="D163" t="s">
        <v>166</v>
      </c>
    </row>
    <row r="164" spans="1:4" x14ac:dyDescent="0.2">
      <c r="A164" t="s">
        <v>167</v>
      </c>
      <c r="B164" t="b">
        <f>ABS(TOMATO_Q1_LABOR_HRS-99)&lt;=0.001</f>
        <v>1</v>
      </c>
      <c r="D164" t="s">
        <v>168</v>
      </c>
    </row>
    <row r="165" spans="1:4" x14ac:dyDescent="0.2">
      <c r="A165" t="s">
        <v>169</v>
      </c>
      <c r="B165" t="b">
        <f>TOTAL_FARM_LABOR_HRS&lt;=TOTAL_LABOR_CAP</f>
        <v>1</v>
      </c>
      <c r="D165" t="s">
        <v>170</v>
      </c>
    </row>
    <row r="166" spans="1:4" x14ac:dyDescent="0.2">
      <c r="A166" t="s">
        <v>171</v>
      </c>
      <c r="B166" t="b">
        <f>TOTAL_BEDS_PLANTED&lt;=FARM_BEDS_AVAIL</f>
        <v>1</v>
      </c>
      <c r="D166" t="s">
        <v>172</v>
      </c>
    </row>
    <row r="167" spans="1:4" x14ac:dyDescent="0.2">
      <c r="A167" t="s">
        <v>173</v>
      </c>
      <c r="B167" t="b">
        <f>AND(SUMPRODUCT(--ISERROR(CALCULATED_RANGES_COST_STRUCTURE))=0,SUMPRODUCT(--_xlfn.ISFORMULA(CALCULATED_RANGES_COST_STRUCTURE))=PRODUCT(ROWS(CALCULATED_RANGES_COST_STRUCTURE),COLUMNS(CALCULATED_RANGES_COST_STRUCTURE)),SUMPRODUCT(--ISERROR(CALCULATED_RANGES_OPT_CROPS))=0,SUMPRODUCT(--_xlfn.ISFORMULA(CALCULATED_RANGES_OPT_CROPS))=PRODUCT(ROWS(CALCULATED_RANGES_OPT_CROPS),COLUMNS(CALCULATED_RANGES_OPT_CROPS)),SUMPRODUCT(--ISERROR(CALCULATED_RANGES_OPT_TOTALS))=0,SUMPRODUCT(--_xlfn.ISFORMULA(CALCULATED_RANGES_OPT_TOTALS))=PRODUCT(ROWS(CALCULATED_RANGES_OPT_TOTALS),COLUMNS(CALCULATED_RANGES_OPT_TOTALS)),SUMPRODUCT(--ISERROR(CALCULATED_RANGES_OPT_CONSTRAINTS))=0,SUMPRODUCT(--_xlfn.ISFORMULA(CALCULATED_RANGES_OPT_CONSTRAINTS))=PRODUCT(ROWS(CALCULATED_RANGES_OPT_CONSTRAINTS),COLUMNS(CALCULATED_RANGES_OPT_CONSTRAINTS)),SUMPRODUCT(--ISERROR(CALCULATED_RANGES_STANDALONE))=0,SUMPRODUCT(--_xlfn.ISFORMULA(CALCULATED_RANGES_STANDALONE))=PRODUCT(ROWS(CALCULATED_RANGES_STANDALONE),COLUMNS(CALCULATED_RANGES_STANDALONE)),SUMPRODUCT(--ISERROR(CALCULATED_RANGES_SCHED_TOMATOES))=0,SUMPRODUCT(--_xlfn.ISFORMULA(CALCULATED_RANGES_SCHED_TOMATOES))=PRODUCT(ROWS(CALCULATED_RANGES_SCHED_TOMATOES),COLUMNS(CALCULATED_RANGES_SCHED_TOMATOES)),SUMPRODUCT(--ISERROR(CALCULATED_RANGES_SCHED_CARROTS))=0,SUMPRODUCT(--_xlfn.ISFORMULA(CALCULATED_RANGES_SCHED_CARROTS))=PRODUCT(ROWS(CALCULATED_RANGES_SCHED_CARROTS),COLUMNS(CALCULATED_RANGES_SCHED_CARROTS)),SUMPRODUCT(--ISERROR(CALCULATED_RANGES_SCHED_MESCLUN))=0,SUMPRODUCT(--_xlfn.ISFORMULA(CALCULATED_RANGES_SCHED_MESCLUN))=PRODUCT(ROWS(CALCULATED_RANGES_SCHED_MESCLUN),COLUMNS(CALCULATED_RANGES_SCHED_MESCLUN)))</f>
        <v>1</v>
      </c>
      <c r="D167" t="s">
        <v>174</v>
      </c>
    </row>
  </sheetData>
  <conditionalFormatting sqref="B161:B167">
    <cfRule type="cellIs" dxfId="0" priority="1" operator="equal">
      <formula>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baseColWidth="10" defaultColWidth="8.83203125" defaultRowHeight="15" x14ac:dyDescent="0.2"/>
  <cols>
    <col min="1" max="1" width="30" customWidth="1"/>
    <col min="2" max="2" width="28" customWidth="1"/>
    <col min="3" max="3" width="40" customWidth="1"/>
    <col min="4" max="4" width="14" customWidth="1"/>
    <col min="5" max="5" width="40" customWidth="1"/>
  </cols>
  <sheetData>
    <row r="1" spans="1:3" ht="19" x14ac:dyDescent="0.25">
      <c r="A1" s="1" t="s">
        <v>175</v>
      </c>
    </row>
    <row r="3" spans="1:3" ht="16" x14ac:dyDescent="0.2">
      <c r="A3" s="19" t="s">
        <v>176</v>
      </c>
    </row>
    <row r="4" spans="1:3" x14ac:dyDescent="0.2">
      <c r="A4" s="20" t="s">
        <v>177</v>
      </c>
      <c r="B4" s="20" t="s">
        <v>4</v>
      </c>
    </row>
    <row r="5" spans="1:3" ht="32" x14ac:dyDescent="0.2">
      <c r="A5" s="21" t="s">
        <v>178</v>
      </c>
      <c r="B5" s="21" t="s">
        <v>179</v>
      </c>
    </row>
    <row r="6" spans="1:3" ht="16" x14ac:dyDescent="0.2">
      <c r="A6" s="21" t="s">
        <v>180</v>
      </c>
      <c r="B6" s="21" t="s">
        <v>181</v>
      </c>
    </row>
    <row r="7" spans="1:3" ht="16" x14ac:dyDescent="0.2">
      <c r="A7" s="21" t="s">
        <v>182</v>
      </c>
      <c r="B7" s="21" t="s">
        <v>183</v>
      </c>
    </row>
    <row r="8" spans="1:3" ht="48" x14ac:dyDescent="0.2">
      <c r="A8" s="21" t="s">
        <v>184</v>
      </c>
      <c r="B8" s="21" t="s">
        <v>210</v>
      </c>
    </row>
    <row r="9" spans="1:3" ht="16" x14ac:dyDescent="0.2">
      <c r="A9" s="21" t="s">
        <v>185</v>
      </c>
      <c r="B9" s="21" t="s">
        <v>186</v>
      </c>
    </row>
    <row r="10" spans="1:3" ht="32" x14ac:dyDescent="0.2">
      <c r="A10" s="21" t="s">
        <v>187</v>
      </c>
      <c r="B10" s="21" t="s">
        <v>211</v>
      </c>
    </row>
    <row r="12" spans="1:3" ht="16" x14ac:dyDescent="0.2">
      <c r="A12" s="19" t="s">
        <v>188</v>
      </c>
    </row>
    <row r="13" spans="1:3" x14ac:dyDescent="0.2">
      <c r="A13" s="20" t="s">
        <v>189</v>
      </c>
      <c r="B13" s="20" t="s">
        <v>190</v>
      </c>
      <c r="C13" s="20" t="s">
        <v>191</v>
      </c>
    </row>
    <row r="14" spans="1:3" ht="112" x14ac:dyDescent="0.2">
      <c r="A14" s="22">
        <v>0.1</v>
      </c>
      <c r="B14" s="21" t="s">
        <v>186</v>
      </c>
      <c r="C14" s="21" t="s">
        <v>192</v>
      </c>
    </row>
    <row r="15" spans="1:3" ht="80" x14ac:dyDescent="0.2">
      <c r="A15" s="22">
        <v>0.2</v>
      </c>
      <c r="B15" s="21" t="s">
        <v>186</v>
      </c>
      <c r="C15" s="21" t="s">
        <v>193</v>
      </c>
    </row>
    <row r="16" spans="1:3" ht="128" x14ac:dyDescent="0.2">
      <c r="A16" s="22">
        <v>0.3</v>
      </c>
      <c r="B16" s="21" t="s">
        <v>186</v>
      </c>
      <c r="C16" s="21" t="s">
        <v>194</v>
      </c>
    </row>
    <row r="17" spans="1:5" ht="32" x14ac:dyDescent="0.2">
      <c r="A17" s="22">
        <v>0.4</v>
      </c>
      <c r="B17" s="23" t="s">
        <v>224</v>
      </c>
      <c r="C17" s="21" t="s">
        <v>225</v>
      </c>
    </row>
    <row r="19" spans="1:5" ht="16" x14ac:dyDescent="0.2">
      <c r="A19" s="19" t="s">
        <v>223</v>
      </c>
    </row>
    <row r="20" spans="1:5" x14ac:dyDescent="0.2">
      <c r="A20" s="20" t="s">
        <v>195</v>
      </c>
      <c r="B20" s="20" t="s">
        <v>196</v>
      </c>
      <c r="C20" s="20" t="s">
        <v>197</v>
      </c>
      <c r="D20" s="20" t="s">
        <v>198</v>
      </c>
      <c r="E20" s="20" t="s">
        <v>199</v>
      </c>
    </row>
    <row r="21" spans="1:5" ht="16" x14ac:dyDescent="0.2">
      <c r="A21" s="21" t="s">
        <v>200</v>
      </c>
      <c r="B21" s="21" t="s">
        <v>201</v>
      </c>
      <c r="C21" s="21" t="s">
        <v>201</v>
      </c>
      <c r="D21" s="21" t="s">
        <v>212</v>
      </c>
      <c r="E21" s="21" t="s">
        <v>213</v>
      </c>
    </row>
    <row r="22" spans="1:5" ht="48" x14ac:dyDescent="0.2">
      <c r="A22" s="21" t="s">
        <v>202</v>
      </c>
      <c r="B22" s="21" t="s">
        <v>203</v>
      </c>
      <c r="C22" s="21" t="s">
        <v>214</v>
      </c>
      <c r="D22" s="21" t="s">
        <v>215</v>
      </c>
      <c r="E22" s="21" t="s">
        <v>216</v>
      </c>
    </row>
    <row r="23" spans="1:5" ht="32" x14ac:dyDescent="0.2">
      <c r="A23" s="21" t="s">
        <v>204</v>
      </c>
      <c r="B23" s="21" t="s">
        <v>205</v>
      </c>
      <c r="C23" s="21" t="s">
        <v>217</v>
      </c>
      <c r="D23" s="21" t="s">
        <v>212</v>
      </c>
      <c r="E23" s="21" t="s">
        <v>218</v>
      </c>
    </row>
    <row r="24" spans="1:5" ht="32" x14ac:dyDescent="0.2">
      <c r="A24" s="21" t="s">
        <v>206</v>
      </c>
      <c r="B24" s="21" t="s">
        <v>207</v>
      </c>
      <c r="C24" s="21" t="s">
        <v>219</v>
      </c>
      <c r="D24" s="21" t="s">
        <v>212</v>
      </c>
      <c r="E24" s="21" t="s">
        <v>220</v>
      </c>
    </row>
    <row r="25" spans="1:5" ht="64" x14ac:dyDescent="0.2">
      <c r="A25" s="21" t="s">
        <v>208</v>
      </c>
      <c r="B25" s="21" t="s">
        <v>209</v>
      </c>
      <c r="C25" s="21" t="s">
        <v>221</v>
      </c>
      <c r="D25" s="21" t="s">
        <v>212</v>
      </c>
      <c r="E25" s="21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138</vt:i4>
      </vt:variant>
    </vt:vector>
  </HeadingPairs>
  <TitlesOfParts>
    <vt:vector size="140" baseType="lpstr">
      <vt:lpstr>Farm_Model</vt:lpstr>
      <vt:lpstr>Documentation</vt:lpstr>
      <vt:lpstr>BASE_HRS_CARROTS</vt:lpstr>
      <vt:lpstr>BASE_HRS_MESCLUN</vt:lpstr>
      <vt:lpstr>BASE_HRS_TOMATOES</vt:lpstr>
      <vt:lpstr>BED_CAP_CARROTS</vt:lpstr>
      <vt:lpstr>BED_CAP_MESCLUN</vt:lpstr>
      <vt:lpstr>BED_CAP_TOMATOES</vt:lpstr>
      <vt:lpstr>BEDS_CARROTS</vt:lpstr>
      <vt:lpstr>BEDS_MESCLUN</vt:lpstr>
      <vt:lpstr>BEDS_TOMATOES</vt:lpstr>
      <vt:lpstr>BLENDED_LABOR_RATE</vt:lpstr>
      <vt:lpstr>CALCULATED_RANGES_COST_STRUCTURE</vt:lpstr>
      <vt:lpstr>CALCULATED_RANGES_OPT_CONSTRAINTS</vt:lpstr>
      <vt:lpstr>CALCULATED_RANGES_OPT_CROPS</vt:lpstr>
      <vt:lpstr>CALCULATED_RANGES_OPT_TOTALS</vt:lpstr>
      <vt:lpstr>CALCULATED_RANGES_SCHED_CARROTS</vt:lpstr>
      <vt:lpstr>CALCULATED_RANGES_SCHED_MESCLUN</vt:lpstr>
      <vt:lpstr>CALCULATED_RANGES_SCHED_TOMATOES</vt:lpstr>
      <vt:lpstr>CALCULATED_RANGES_STANDALONE</vt:lpstr>
      <vt:lpstr>CHECK_HAND_CALC_Q1</vt:lpstr>
      <vt:lpstr>CHECK_LABOR_CAP</vt:lpstr>
      <vt:lpstr>CHECK_LAND_CAP</vt:lpstr>
      <vt:lpstr>CHECK_NET_PROFIT</vt:lpstr>
      <vt:lpstr>CHECK_NO_ERRORS_AND_FORMULAS</vt:lpstr>
      <vt:lpstr>CHECK_OPTIMAL_MIX</vt:lpstr>
      <vt:lpstr>CHECK_STANDALONE_PMC</vt:lpstr>
      <vt:lpstr>checks</vt:lpstr>
      <vt:lpstr>CONSTRAINT_BED_CAP_CARROTS</vt:lpstr>
      <vt:lpstr>CONSTRAINT_BED_CAP_MESCLUN</vt:lpstr>
      <vt:lpstr>CONSTRAINT_BED_CAP_TOMATOES</vt:lpstr>
      <vt:lpstr>CONSTRAINT_FARM_BEDS</vt:lpstr>
      <vt:lpstr>CONSTRAINT_INTEGER_NONNEG</vt:lpstr>
      <vt:lpstr>CONSTRAINT_LABOR_CAP</vt:lpstr>
      <vt:lpstr>cost_structure</vt:lpstr>
      <vt:lpstr>CROP_CUMULATIVE_CONTRIBUTION_CARROTS</vt:lpstr>
      <vt:lpstr>CROP_CUMULATIVE_CONTRIBUTION_MESCLUN</vt:lpstr>
      <vt:lpstr>CROP_CUMULATIVE_CONTRIBUTION_TOMATOES</vt:lpstr>
      <vt:lpstr>CROP_LABOR_COST_CARROTS</vt:lpstr>
      <vt:lpstr>CROP_LABOR_COST_MESCLUN</vt:lpstr>
      <vt:lpstr>CROP_LABOR_COST_TOMATOES</vt:lpstr>
      <vt:lpstr>CROP_REVENUE_CARROTS</vt:lpstr>
      <vt:lpstr>CROP_REVENUE_MESCLUN</vt:lpstr>
      <vt:lpstr>CROP_REVENUE_TOMATOES</vt:lpstr>
      <vt:lpstr>CROP_TVC_CARROTS</vt:lpstr>
      <vt:lpstr>CROP_TVC_MESCLUN</vt:lpstr>
      <vt:lpstr>CROP_TVC_TOMATOES</vt:lpstr>
      <vt:lpstr>DIM_RATE_CARROTS</vt:lpstr>
      <vt:lpstr>DIM_RATE_MESCLUN</vt:lpstr>
      <vt:lpstr>DIM_RATE_TOMATOES</vt:lpstr>
      <vt:lpstr>FARM_BEDS_AVAIL</vt:lpstr>
      <vt:lpstr>FARM_BLENDED_LABOR_RATE</vt:lpstr>
      <vt:lpstr>FERT_COST_CARROTS</vt:lpstr>
      <vt:lpstr>FERT_COST_MESCLUN</vt:lpstr>
      <vt:lpstr>FERT_COST_TOMATOES</vt:lpstr>
      <vt:lpstr>FERT_PER_BED_CARROTS</vt:lpstr>
      <vt:lpstr>FERT_PER_BED_MESCLUN</vt:lpstr>
      <vt:lpstr>FERT_PER_BED_TOMATOES</vt:lpstr>
      <vt:lpstr>FIXED_COST_DOLLARS</vt:lpstr>
      <vt:lpstr>FIXED_COSTS</vt:lpstr>
      <vt:lpstr>inputs</vt:lpstr>
      <vt:lpstr>LABOR_HRS_CARROTS</vt:lpstr>
      <vt:lpstr>LABOR_HRS_MESCLUN</vt:lpstr>
      <vt:lpstr>LABOR_HRS_TOMATOES</vt:lpstr>
      <vt:lpstr>marginal_cost</vt:lpstr>
      <vt:lpstr>NET_SEASON_PROFIT</vt:lpstr>
      <vt:lpstr>OPTIMAL_BEDS_CARROTS</vt:lpstr>
      <vt:lpstr>OPTIMAL_BEDS_MESCLUN</vt:lpstr>
      <vt:lpstr>OPTIMAL_BEDS_TOMATOES</vt:lpstr>
      <vt:lpstr>optimization</vt:lpstr>
      <vt:lpstr>OWNER_HOURLY_RATE</vt:lpstr>
      <vt:lpstr>OWNER_HOURS_UTILIZED</vt:lpstr>
      <vt:lpstr>OWNER_HRS_USED</vt:lpstr>
      <vt:lpstr>OWNER_MAX_HRS</vt:lpstr>
      <vt:lpstr>REV_PER_BED_CARROTS</vt:lpstr>
      <vt:lpstr>REV_PER_BED_MESCLUN</vt:lpstr>
      <vt:lpstr>REV_PER_BED_TOMATOES</vt:lpstr>
      <vt:lpstr>SCHED_CROP_LABOR_COST_CARROTS</vt:lpstr>
      <vt:lpstr>SCHED_CROP_LABOR_COST_MESCLUN</vt:lpstr>
      <vt:lpstr>SCHED_CROP_LABOR_COST_TOMATOES</vt:lpstr>
      <vt:lpstr>SCHED_CROP_REVENUE_CARROTS</vt:lpstr>
      <vt:lpstr>SCHED_CROP_REVENUE_MESCLUN</vt:lpstr>
      <vt:lpstr>SCHED_CROP_REVENUE_TOMATOES</vt:lpstr>
      <vt:lpstr>SCHED_CROP_TVC_CARROTS</vt:lpstr>
      <vt:lpstr>SCHED_CROP_TVC_MESCLUN</vt:lpstr>
      <vt:lpstr>SCHED_CROP_TVC_TOMATOES</vt:lpstr>
      <vt:lpstr>SCHED_CUMULATIVE_CONTRIBUTION_CARROTS</vt:lpstr>
      <vt:lpstr>SCHED_CUMULATIVE_CONTRIBUTION_MESCLUN</vt:lpstr>
      <vt:lpstr>SCHED_CUMULATIVE_CONTRIBUTION_TOMATOES</vt:lpstr>
      <vt:lpstr>SCHED_FERT_COST_CARROTS</vt:lpstr>
      <vt:lpstr>SCHED_FERT_COST_MESCLUN</vt:lpstr>
      <vt:lpstr>SCHED_FERT_COST_TOMATOES</vt:lpstr>
      <vt:lpstr>SCHED_LABOR_HRS_CARROTS</vt:lpstr>
      <vt:lpstr>SCHED_LABOR_HRS_MESCLUN</vt:lpstr>
      <vt:lpstr>SCHED_LABOR_HRS_PREV_CARROTS</vt:lpstr>
      <vt:lpstr>SCHED_LABOR_HRS_PREV_MESCLUN</vt:lpstr>
      <vt:lpstr>SCHED_LABOR_HRS_PREV_TOMATOES</vt:lpstr>
      <vt:lpstr>SCHED_LABOR_HRS_TOMATOES</vt:lpstr>
      <vt:lpstr>SCHED_MARGINAL_COST_CARROTS</vt:lpstr>
      <vt:lpstr>SCHED_MARGINAL_COST_MESCLUN</vt:lpstr>
      <vt:lpstr>SCHED_MARGINAL_COST_TOMATOES</vt:lpstr>
      <vt:lpstr>SCHED_MARGINAL_LABOR_HRS_CARROTS</vt:lpstr>
      <vt:lpstr>SCHED_MARGINAL_LABOR_HRS_MESCLUN</vt:lpstr>
      <vt:lpstr>SCHED_MARGINAL_LABOR_HRS_TOMATOES</vt:lpstr>
      <vt:lpstr>SCHED_MARGINAL_REVENUE_CARROTS</vt:lpstr>
      <vt:lpstr>SCHED_MARGINAL_REVENUE_MESCLUN</vt:lpstr>
      <vt:lpstr>SCHED_MARGINAL_REVENUE_TOMATOES</vt:lpstr>
      <vt:lpstr>SCHED_Q_CARROTS</vt:lpstr>
      <vt:lpstr>SCHED_Q_MESCLUN</vt:lpstr>
      <vt:lpstr>SCHED_Q_TOMATOES</vt:lpstr>
      <vt:lpstr>SCHED_SA_LABOR_COST_CARROTS</vt:lpstr>
      <vt:lpstr>SCHED_SA_LABOR_COST_MESCLUN</vt:lpstr>
      <vt:lpstr>SCHED_SA_LABOR_COST_PREV_CARROTS</vt:lpstr>
      <vt:lpstr>SCHED_SA_LABOR_COST_PREV_MESCLUN</vt:lpstr>
      <vt:lpstr>SCHED_SA_LABOR_COST_PREV_TOMATOES</vt:lpstr>
      <vt:lpstr>SCHED_SA_LABOR_COST_TOMATOES</vt:lpstr>
      <vt:lpstr>SCHED_SA_MARGINAL_COST_CARROTS</vt:lpstr>
      <vt:lpstr>SCHED_SA_MARGINAL_COST_MESCLUN</vt:lpstr>
      <vt:lpstr>SCHED_SA_MARGINAL_COST_TOMATOES</vt:lpstr>
      <vt:lpstr>SEASON_WEEKS</vt:lpstr>
      <vt:lpstr>STANDALONE_PMC_CARROTS</vt:lpstr>
      <vt:lpstr>STANDALONE_PMC_MESCLUN</vt:lpstr>
      <vt:lpstr>STANDALONE_PMC_TOMATOES</vt:lpstr>
      <vt:lpstr>TEMP_HOURLY_RATE</vt:lpstr>
      <vt:lpstr>TEMP_HRS_NEEDED</vt:lpstr>
      <vt:lpstr>TEMP_WORKER_HOURS_UTILIZED</vt:lpstr>
      <vt:lpstr>TEMP_WORKER_MAX_HRS</vt:lpstr>
      <vt:lpstr>TEMP_WORKERS_HIRED_EQUIVALENT</vt:lpstr>
      <vt:lpstr>TEMP_WORKERS_MAX</vt:lpstr>
      <vt:lpstr>TOMATO_Q1_LABOR_HRS</vt:lpstr>
      <vt:lpstr>TOTAL_BEDS_PLANTED</vt:lpstr>
      <vt:lpstr>TOTAL_FARM_LABOR_HRS</vt:lpstr>
      <vt:lpstr>TOTAL_FARM_REVENUE</vt:lpstr>
      <vt:lpstr>TOTAL_FARM_TVC</vt:lpstr>
      <vt:lpstr>TOTAL_FERTILIZER_COST</vt:lpstr>
      <vt:lpstr>TOTAL_LABOR_CAP</vt:lpstr>
      <vt:lpstr>TOTAL_LABOR_COST</vt:lpstr>
      <vt:lpstr>TOTAL_LABOR_COST_DOLLARS</vt:lpstr>
      <vt:lpstr>TOTAL_LABOR_HOURS_USED</vt:lpstr>
      <vt:lpstr>TOTAL_VARIABLE_COST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Haruki Lee</cp:lastModifiedBy>
  <dcterms:created xsi:type="dcterms:W3CDTF">2026-10-15T09:40:32Z</dcterms:created>
  <dcterms:modified xsi:type="dcterms:W3CDTF">2026-10-21T02:14:56Z</dcterms:modified>
</cp:coreProperties>
</file>